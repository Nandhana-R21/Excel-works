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82ed17484cf94/Documents/data analytics/entri/"/>
    </mc:Choice>
  </mc:AlternateContent>
  <xr:revisionPtr revIDLastSave="178" documentId="8_{47293976-9011-4371-8747-0B8688719E30}" xr6:coauthVersionLast="47" xr6:coauthVersionMax="47" xr10:uidLastSave="{AD3B369C-F8D0-4D17-8434-049AAD9B58FF}"/>
  <bookViews>
    <workbookView xWindow="-110" yWindow="-110" windowWidth="19420" windowHeight="10300" xr2:uid="{4AECB355-97F1-450B-87EE-6AD40ECA1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M27" i="1"/>
  <c r="M2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G4" i="1"/>
  <c r="G5" i="1"/>
  <c r="G6" i="1"/>
  <c r="G7" i="1"/>
  <c r="G2" i="1"/>
  <c r="M20" i="1"/>
  <c r="M19" i="1"/>
  <c r="M16" i="1"/>
  <c r="M15" i="1"/>
  <c r="M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<sst xmlns="http://schemas.openxmlformats.org/spreadsheetml/2006/main" count="163" uniqueCount="114">
  <si>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</si>
  <si>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</si>
  <si>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</si>
  <si>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</si>
  <si>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</si>
  <si>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</si>
  <si>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</si>
  <si>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</si>
  <si>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</si>
  <si>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</si>
  <si>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</si>
  <si>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</si>
  <si>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</si>
  <si>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</si>
  <si>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</si>
  <si>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</si>
  <si>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</si>
  <si>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</si>
  <si>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</si>
  <si>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</si>
  <si>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</si>
  <si>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</si>
  <si>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</si>
  <si>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</si>
  <si>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</si>
  <si>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</si>
  <si>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</si>
  <si>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</si>
  <si>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</si>
  <si>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</si>
  <si>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</si>
  <si>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</si>
  <si>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</si>
  <si>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</si>
  <si>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</si>
  <si>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</si>
  <si>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</si>
  <si>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</si>
  <si>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</si>
  <si>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</si>
  <si>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</si>
  <si>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</si>
  <si>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</si>
  <si>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</si>
  <si>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</si>
  <si>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</si>
  <si>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</si>
  <si>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</si>
  <si>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</si>
  <si>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</si>
  <si>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</si>
  <si>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</si>
  <si>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</si>
  <si>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</si>
  <si>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</si>
  <si>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</si>
  <si>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</si>
  <si>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</si>
  <si>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</si>
  <si>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</si>
  <si>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</si>
  <si>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</si>
  <si>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</si>
  <si>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</si>
  <si>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</si>
  <si>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</si>
  <si>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</si>
  <si>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</si>
  <si>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</si>
  <si>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</si>
  <si>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</si>
  <si>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</si>
  <si>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</si>
  <si>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</si>
  <si>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</si>
  <si>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</si>
  <si>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</si>
  <si>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</si>
  <si>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</si>
  <si>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</si>
  <si>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</si>
  <si>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</si>
  <si>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</si>
  <si>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</si>
  <si>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</si>
  <si>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</si>
  <si>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</si>
  <si>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</si>
  <si>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</si>
  <si>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</si>
  <si>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</si>
  <si>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</si>
  <si>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</si>
  <si>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Sum, count, average</t>
  </si>
  <si>
    <t>2) Min and Max</t>
  </si>
  <si>
    <t>3) IF function</t>
  </si>
  <si>
    <t>Price Range</t>
  </si>
  <si>
    <t>if =IF(D2&gt;=500,"High price","Standard price")</t>
  </si>
  <si>
    <t>4) SUMIF and COUNTIF function</t>
  </si>
  <si>
    <t>5) Text formatting - LEFT ,RIGHT,MID</t>
  </si>
  <si>
    <t>DAY</t>
  </si>
  <si>
    <t xml:space="preserve">* Column named Day with the first two characters from Product ID (LEFT FUNCTION) </t>
  </si>
  <si>
    <t>Country code</t>
  </si>
  <si>
    <t>Month</t>
  </si>
  <si>
    <t>* Column named Country code the last two characters from product ID (RIGHT FUNCTION)</t>
  </si>
  <si>
    <t>* Column named Month the 4th and 6th characters from product ID (MID FUNCTION)</t>
  </si>
  <si>
    <t xml:space="preserve">Total price of all products                                                                                                                 = </t>
  </si>
  <si>
    <t xml:space="preserve">Count of products                                                                                                                              = </t>
  </si>
  <si>
    <t xml:space="preserve">Average price of products                                                                                                                = </t>
  </si>
  <si>
    <t xml:space="preserve">Min price of among all products                                                                                                    = </t>
  </si>
  <si>
    <t>Max price of among all products                                                                                                   =</t>
  </si>
  <si>
    <t>Total price of products in electronics category(SUMIF)                                                          =</t>
  </si>
  <si>
    <t>The count of products with less price than $100(COUNTIF)                                                  =</t>
  </si>
  <si>
    <t xml:space="preserve">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</si>
</sst>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left" wrapText="1" indent="1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left" wrapText="1" indent="1"/>
    </xf>
    <xf numFmtId="0" fontId="1" fillId="2" borderId="2" xfId="0" applyFont="1" applyFill="1" applyBorder="1" applyAlignment="1">
      <alignment horizontal="left" wrapText="1" indent="2"/>
    </xf>
    <xf numFmtId="0" fontId="0" fillId="0" borderId="0" xfId="0" applyAlignment="1">
      <alignment horizontal="left" indent="2"/>
    </xf>
    <xf numFmtId="0" fontId="2" fillId="3" borderId="0" xfId="0" applyFont="1" applyFill="1" applyAlignment="1">
      <alignment horizontal="left" wrapText="1" indent="2"/>
    </xf>
    <xf numFmtId="0" fontId="1" fillId="2" borderId="0" xfId="0" applyFont="1" applyFill="1" applyAlignment="1">
      <alignment horizontal="left" wrapText="1" indent="1"/>
    </xf>
    <xf numFmtId="0" fontId="1" fillId="2" borderId="0" xfId="0" applyFont="1" applyFill="1" applyAlignment="1">
      <alignment horizontal="left" wrapText="1" indent="2"/>
    </xf>
    <xf numFmtId="0" fontId="1" fillId="2" borderId="1" xfId="0" applyFont="1" applyFill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1"/>
    </xf>
    <xf numFmtId="0" fontId="2" fillId="3" borderId="1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0DB4-91FA-40B7-BD53-4C990F05FD3A}">
  <dimension ref="A1:N35"/>
  <sheetViews>
    <sheetView tabSelected="1" workbookViewId="0">
      <selection activeCell="G10" sqref="G10"/>
    </sheetView>
  </sheetViews>
  <sheetFormatPr defaultRowHeight="14.5" x14ac:dyDescent="0.35"/>
  <cols>
    <col min="1" max="1" width="13.08984375" customWidth="1"/>
    <col min="2" max="2" width="17.453125" customWidth="1"/>
    <col min="3" max="3" width="12.453125" customWidth="1"/>
    <col min="4" max="4" width="10.453125" customWidth="1"/>
    <col min="5" max="5" width="14.26953125" customWidth="1"/>
    <col min="6" max="6" width="12.26953125" style="7" customWidth="1"/>
    <col min="7" max="7" width="14.81640625" style="7" customWidth="1"/>
    <col min="8" max="8" width="10.7265625" style="10" customWidth="1"/>
    <col min="9" max="9" width="11.36328125" style="10" customWidth="1"/>
    <col min="10" max="10" width="8.7265625" style="7"/>
    <col min="11" max="11" width="18.6328125" bestFit="1" customWidth="1"/>
    <col min="12" max="12" width="76.7265625" customWidth="1"/>
  </cols>
  <sheetData>
    <row r="1" spans="1:13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6" t="s">
        <v>96</v>
      </c>
      <c r="H1" s="9" t="s">
        <v>100</v>
      </c>
      <c r="I1" s="13" t="s">
        <v>102</v>
      </c>
      <c r="J1" s="12" t="s">
        <v>103</v>
      </c>
    </row>
    <row r="2" spans="1:13" ht="1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15" t="s">
        <v>9</v>
      </c>
      <c r="G2" s="7" t="str">
        <f>IF(D2&gt;=500,"High price","Standard price")</f>
        <v>High price</v>
      </c>
      <c r="H2" s="10" t="str" cm="1">
        <f t="array" ref="H2:H35">LEFT(A2:A35,"2")</f>
        <v>28</v>
      </c>
      <c r="I2" s="10" t="str" cm="1">
        <f t="array" ref="I2:I35">RIGHT(A2:A35,"2")</f>
        <v>US</v>
      </c>
      <c r="J2" s="7" t="str" cm="1">
        <f t="array" ref="J2:J35">MID(A2:A35,4,3)</f>
        <v>JAN</v>
      </c>
    </row>
    <row r="3" spans="1:13" ht="1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16" t="s">
        <v>13</v>
      </c>
      <c r="G3" s="7" t="str">
        <f t="shared" ref="G3:G35" si="0">IF(D3&gt;=500,"High price","Standard price")</f>
        <v>Standard price</v>
      </c>
      <c r="H3" s="10" t="str">
        <v>15</v>
      </c>
      <c r="I3" s="10" t="str">
        <v>US</v>
      </c>
      <c r="J3" s="7" t="str">
        <v>FEB</v>
      </c>
    </row>
    <row r="4" spans="1:13" ht="1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15" t="s">
        <v>17</v>
      </c>
      <c r="G4" s="7" t="str">
        <f t="shared" si="0"/>
        <v>Standard price</v>
      </c>
      <c r="H4" s="10" t="str">
        <v>03</v>
      </c>
      <c r="I4" s="10" t="str">
        <v>US</v>
      </c>
      <c r="J4" s="7" t="str">
        <v>MAR</v>
      </c>
    </row>
    <row r="5" spans="1:13" ht="1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16" t="s">
        <v>9</v>
      </c>
      <c r="G5" s="7" t="str">
        <f t="shared" si="0"/>
        <v>High price</v>
      </c>
      <c r="H5" s="10" t="str">
        <v>11</v>
      </c>
      <c r="I5" s="10" t="str">
        <v>US</v>
      </c>
      <c r="J5" s="7" t="str">
        <v>APR</v>
      </c>
    </row>
    <row r="6" spans="1:13" ht="1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15" t="s">
        <v>24</v>
      </c>
      <c r="G6" s="7" t="str">
        <f t="shared" si="0"/>
        <v>Standard price</v>
      </c>
      <c r="H6" s="10" t="str">
        <v>22</v>
      </c>
      <c r="I6" s="10" t="str">
        <v>US</v>
      </c>
      <c r="J6" s="7" t="str">
        <v>MAY</v>
      </c>
    </row>
    <row r="7" spans="1:13" ht="15" thickBot="1" x14ac:dyDescent="0.4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16" t="s">
        <v>9</v>
      </c>
      <c r="G7" s="7" t="str">
        <f t="shared" si="0"/>
        <v>Standard price</v>
      </c>
      <c r="H7" s="10" t="str">
        <v>07</v>
      </c>
      <c r="I7" s="10" t="str">
        <v>UK</v>
      </c>
      <c r="J7" s="7" t="str">
        <v>JUN</v>
      </c>
    </row>
    <row r="8" spans="1:13" ht="1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15" t="s">
        <v>13</v>
      </c>
      <c r="G8" s="7" t="str">
        <f t="shared" si="0"/>
        <v>Standard price</v>
      </c>
      <c r="H8" s="10" t="str">
        <v>19</v>
      </c>
      <c r="I8" s="10" t="str">
        <v>UK</v>
      </c>
      <c r="J8" s="7" t="str">
        <v>JUL</v>
      </c>
    </row>
    <row r="9" spans="1:13" ht="1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16" t="s">
        <v>17</v>
      </c>
      <c r="G9" s="7" t="str">
        <f t="shared" si="0"/>
        <v>Standard price</v>
      </c>
      <c r="H9" s="10" t="str">
        <v>23</v>
      </c>
      <c r="I9" s="10" t="str">
        <v>UK</v>
      </c>
      <c r="J9" s="7" t="str">
        <v>AUG</v>
      </c>
    </row>
    <row r="10" spans="1:13" ht="1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15" t="s">
        <v>9</v>
      </c>
      <c r="G10" s="7" t="str">
        <f t="shared" si="0"/>
        <v>High price</v>
      </c>
      <c r="H10" s="10" t="str">
        <v>05</v>
      </c>
      <c r="I10" s="10" t="str">
        <v>UK</v>
      </c>
      <c r="J10" s="7" t="str">
        <v>SEP</v>
      </c>
    </row>
    <row r="11" spans="1:13" ht="1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16" t="s">
        <v>24</v>
      </c>
      <c r="G11" s="7" t="str">
        <f t="shared" si="0"/>
        <v>Standard price</v>
      </c>
      <c r="H11" s="10" t="str">
        <v>14</v>
      </c>
      <c r="I11" s="10" t="str">
        <v>UK</v>
      </c>
      <c r="J11" s="7" t="str">
        <v>OCT</v>
      </c>
    </row>
    <row r="12" spans="1:13" ht="24" customHeight="1" thickBot="1" x14ac:dyDescent="0.4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15" t="s">
        <v>9</v>
      </c>
      <c r="G12" s="7" t="str">
        <f t="shared" si="0"/>
        <v>High price</v>
      </c>
      <c r="H12" s="10" t="str">
        <v>17</v>
      </c>
      <c r="I12" s="10" t="str">
        <v>IN</v>
      </c>
      <c r="J12" s="7" t="str">
        <v>JUN</v>
      </c>
    </row>
    <row r="13" spans="1:13" ht="27" customHeight="1" thickBot="1" x14ac:dyDescent="0.4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16" t="s">
        <v>13</v>
      </c>
      <c r="G13" s="7" t="str">
        <f t="shared" si="0"/>
        <v>Standard price</v>
      </c>
      <c r="H13" s="10" t="str">
        <v>25</v>
      </c>
      <c r="I13" s="10" t="str">
        <v>AU</v>
      </c>
      <c r="J13" s="7" t="str">
        <v>NOV</v>
      </c>
      <c r="L13" t="s">
        <v>93</v>
      </c>
    </row>
    <row r="14" spans="1:13" ht="27" customHeight="1" thickBot="1" x14ac:dyDescent="0.4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15" t="s">
        <v>17</v>
      </c>
      <c r="G14" s="7" t="str">
        <f t="shared" si="0"/>
        <v>Standard price</v>
      </c>
      <c r="H14" s="10" t="str">
        <v>08</v>
      </c>
      <c r="I14" s="10" t="str">
        <v>DE</v>
      </c>
      <c r="J14" s="7" t="str">
        <v>DEC</v>
      </c>
      <c r="L14" t="s">
        <v>106</v>
      </c>
      <c r="M14">
        <f>SUM(D2:D36)</f>
        <v>10100</v>
      </c>
    </row>
    <row r="15" spans="1:13" ht="24" customHeight="1" thickBot="1" x14ac:dyDescent="0.4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16" t="s">
        <v>9</v>
      </c>
      <c r="G15" s="7" t="str">
        <f t="shared" si="0"/>
        <v>Standard price</v>
      </c>
      <c r="H15" s="10" t="str">
        <v>18</v>
      </c>
      <c r="I15" s="10" t="str">
        <v>CA</v>
      </c>
      <c r="J15" s="7" t="str">
        <v>FEB</v>
      </c>
      <c r="L15" t="s">
        <v>107</v>
      </c>
      <c r="M15">
        <f>COUNTA(B2:B36)</f>
        <v>34</v>
      </c>
    </row>
    <row r="16" spans="1:13" ht="26" customHeight="1" thickBot="1" x14ac:dyDescent="0.4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15" t="s">
        <v>9</v>
      </c>
      <c r="G16" s="7" t="str">
        <f t="shared" si="0"/>
        <v>Standard price</v>
      </c>
      <c r="H16" s="10" t="str">
        <v>16</v>
      </c>
      <c r="I16" s="10" t="str">
        <v>ES</v>
      </c>
      <c r="J16" s="7" t="str">
        <v>APR</v>
      </c>
      <c r="L16" t="s">
        <v>108</v>
      </c>
      <c r="M16">
        <f>AVERAGE(D2:D36)</f>
        <v>297.05882352941177</v>
      </c>
    </row>
    <row r="17" spans="1:14" ht="24.5" customHeight="1" thickBot="1" x14ac:dyDescent="0.4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16" t="s">
        <v>53</v>
      </c>
      <c r="G17" s="7" t="str">
        <f t="shared" si="0"/>
        <v>Standard price</v>
      </c>
      <c r="H17" s="10" t="str">
        <v>21</v>
      </c>
      <c r="I17" s="10" t="str">
        <v>CA</v>
      </c>
      <c r="J17" s="7" t="str">
        <v>AUG</v>
      </c>
    </row>
    <row r="18" spans="1:14" ht="27.5" customHeight="1" thickBot="1" x14ac:dyDescent="0.4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15" t="s">
        <v>9</v>
      </c>
      <c r="G18" s="7" t="str">
        <f t="shared" si="0"/>
        <v>Standard price</v>
      </c>
      <c r="H18" s="10" t="str">
        <v>20</v>
      </c>
      <c r="I18" s="10" t="str">
        <v>CN</v>
      </c>
      <c r="J18" s="7" t="str">
        <v>AUG</v>
      </c>
      <c r="L18" t="s">
        <v>94</v>
      </c>
      <c r="N18" t="s">
        <v>113</v>
      </c>
    </row>
    <row r="19" spans="1:14" ht="25.5" customHeight="1" thickBot="1" x14ac:dyDescent="0.4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16" t="s">
        <v>9</v>
      </c>
      <c r="G19" s="7" t="str">
        <f t="shared" si="0"/>
        <v>High price</v>
      </c>
      <c r="H19" s="10" t="str">
        <v>27</v>
      </c>
      <c r="I19" s="10" t="str">
        <v>IT</v>
      </c>
      <c r="J19" s="7" t="str">
        <v>JAN</v>
      </c>
      <c r="L19" t="s">
        <v>109</v>
      </c>
      <c r="M19">
        <f>MIN(D2:D35)</f>
        <v>30</v>
      </c>
    </row>
    <row r="20" spans="1:14" ht="22.5" customHeight="1" thickBot="1" x14ac:dyDescent="0.4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15" t="s">
        <v>13</v>
      </c>
      <c r="G20" s="7" t="str">
        <f t="shared" si="0"/>
        <v>Standard price</v>
      </c>
      <c r="H20" s="10" t="str">
        <v>01</v>
      </c>
      <c r="I20" s="10" t="str">
        <v>UK</v>
      </c>
      <c r="J20" s="7" t="str">
        <v>MAR</v>
      </c>
      <c r="L20" t="s">
        <v>110</v>
      </c>
      <c r="M20">
        <f>MAX(D2:D35)</f>
        <v>1000</v>
      </c>
    </row>
    <row r="21" spans="1:14" ht="25" customHeight="1" thickBot="1" x14ac:dyDescent="0.4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16" t="s">
        <v>24</v>
      </c>
      <c r="G21" s="7" t="str">
        <f t="shared" si="0"/>
        <v>Standard price</v>
      </c>
      <c r="H21" s="10" t="str">
        <v>14</v>
      </c>
      <c r="I21" s="10" t="str">
        <v>US</v>
      </c>
      <c r="J21" s="7" t="str">
        <v>AUG</v>
      </c>
    </row>
    <row r="22" spans="1:14" ht="26.5" customHeight="1" thickBot="1" x14ac:dyDescent="0.4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15" t="s">
        <v>9</v>
      </c>
      <c r="G22" s="7" t="str">
        <f t="shared" si="0"/>
        <v>High price</v>
      </c>
      <c r="H22" s="10" t="str">
        <v>14</v>
      </c>
      <c r="I22" s="10" t="str">
        <v>RU</v>
      </c>
      <c r="J22" s="7" t="str">
        <v>MAY</v>
      </c>
      <c r="L22" t="s">
        <v>95</v>
      </c>
    </row>
    <row r="23" spans="1:14" ht="25.5" customHeight="1" thickBot="1" x14ac:dyDescent="0.4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16" t="s">
        <v>17</v>
      </c>
      <c r="G23" s="7" t="str">
        <f t="shared" si="0"/>
        <v>Standard price</v>
      </c>
      <c r="H23" s="10" t="str">
        <v>09</v>
      </c>
      <c r="I23" s="10" t="str">
        <v>CA</v>
      </c>
      <c r="J23" s="7" t="str">
        <v>JAN</v>
      </c>
      <c r="L23" t="s">
        <v>97</v>
      </c>
    </row>
    <row r="24" spans="1:14" ht="26" customHeight="1" thickBot="1" x14ac:dyDescent="0.4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15" t="s">
        <v>9</v>
      </c>
      <c r="G24" s="7" t="str">
        <f t="shared" si="0"/>
        <v>Standard price</v>
      </c>
      <c r="H24" s="10" t="str">
        <v>19</v>
      </c>
      <c r="I24" s="10" t="str">
        <v>BR</v>
      </c>
      <c r="J24" s="7" t="str">
        <v>JUL</v>
      </c>
    </row>
    <row r="25" spans="1:14" ht="28.5" customHeight="1" thickBot="1" x14ac:dyDescent="0.4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16" t="s">
        <v>53</v>
      </c>
      <c r="G25" s="7" t="str">
        <f t="shared" si="0"/>
        <v>Standard price</v>
      </c>
      <c r="H25" s="10" t="str">
        <v>21</v>
      </c>
      <c r="I25" s="10" t="str">
        <v>CA</v>
      </c>
      <c r="J25" s="7" t="str">
        <v>AUG</v>
      </c>
      <c r="L25" t="s">
        <v>98</v>
      </c>
    </row>
    <row r="26" spans="1:14" ht="27" customHeight="1" thickBot="1" x14ac:dyDescent="0.4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15" t="s">
        <v>9</v>
      </c>
      <c r="G26" s="7" t="str">
        <f t="shared" si="0"/>
        <v>High price</v>
      </c>
      <c r="H26" s="10" t="str">
        <v>29</v>
      </c>
      <c r="I26" s="10" t="str">
        <v>CA</v>
      </c>
      <c r="J26" s="7" t="str">
        <v>SEP</v>
      </c>
      <c r="L26" t="s">
        <v>111</v>
      </c>
      <c r="M26">
        <f>SUMIF(F2:F35,"Electronics",D2:D35)</f>
        <v>8050</v>
      </c>
    </row>
    <row r="27" spans="1:14" ht="23.5" customHeight="1" thickBot="1" x14ac:dyDescent="0.4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16" t="s">
        <v>13</v>
      </c>
      <c r="G27" s="7" t="str">
        <f t="shared" si="0"/>
        <v>Standard price</v>
      </c>
      <c r="H27" s="11" t="str">
        <v>03</v>
      </c>
      <c r="I27" s="11" t="str">
        <v>CA</v>
      </c>
      <c r="J27" s="8" t="str">
        <v>JUN</v>
      </c>
      <c r="L27" t="s">
        <v>112</v>
      </c>
      <c r="M27">
        <f>COUNTIF(D2:D35,"&lt;100")</f>
        <v>11</v>
      </c>
    </row>
    <row r="28" spans="1:14" ht="25" customHeight="1" thickBot="1" x14ac:dyDescent="0.4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15" t="s">
        <v>17</v>
      </c>
      <c r="G28" s="7" t="str">
        <f t="shared" si="0"/>
        <v>Standard price</v>
      </c>
      <c r="H28" s="10" t="str">
        <v>11</v>
      </c>
      <c r="I28" s="10" t="str">
        <v>CA</v>
      </c>
      <c r="J28" s="7" t="str">
        <v>JUL</v>
      </c>
    </row>
    <row r="29" spans="1:14" ht="27.5" customHeight="1" thickBot="1" x14ac:dyDescent="0.4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16" t="s">
        <v>9</v>
      </c>
      <c r="G29" s="7" t="str">
        <f t="shared" si="0"/>
        <v>Standard price</v>
      </c>
      <c r="H29" s="10" t="str">
        <v>16</v>
      </c>
      <c r="I29" s="10" t="str">
        <v>ES</v>
      </c>
      <c r="J29" s="7" t="str">
        <v>APR</v>
      </c>
      <c r="L29" t="s">
        <v>99</v>
      </c>
    </row>
    <row r="30" spans="1:14" ht="29" customHeight="1" thickBot="1" x14ac:dyDescent="0.4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15" t="s">
        <v>13</v>
      </c>
      <c r="G30" s="7" t="str">
        <f t="shared" si="0"/>
        <v>Standard price</v>
      </c>
      <c r="H30" s="10" t="str">
        <v>07</v>
      </c>
      <c r="I30" s="10" t="str">
        <v>CA</v>
      </c>
      <c r="J30" s="7" t="str">
        <v>MAR</v>
      </c>
      <c r="L30" t="s">
        <v>101</v>
      </c>
    </row>
    <row r="31" spans="1:14" ht="26.5" customHeight="1" thickBot="1" x14ac:dyDescent="0.4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16" t="s">
        <v>17</v>
      </c>
      <c r="G31" s="7" t="str">
        <f t="shared" si="0"/>
        <v>Standard price</v>
      </c>
      <c r="H31" s="10" t="str">
        <v>13</v>
      </c>
      <c r="I31" s="10" t="str">
        <v>CA</v>
      </c>
      <c r="J31" s="7" t="str">
        <v>APR</v>
      </c>
      <c r="L31" t="s">
        <v>104</v>
      </c>
    </row>
    <row r="32" spans="1:14" ht="24.5" customHeight="1" thickBot="1" x14ac:dyDescent="0.4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15" t="s">
        <v>9</v>
      </c>
      <c r="G32" s="7" t="str">
        <f t="shared" si="0"/>
        <v>Standard price</v>
      </c>
      <c r="H32" s="10" t="str">
        <v>24</v>
      </c>
      <c r="I32" s="10" t="str">
        <v>CA</v>
      </c>
      <c r="J32" s="7" t="str">
        <v>MAY</v>
      </c>
      <c r="L32" t="s">
        <v>105</v>
      </c>
    </row>
    <row r="33" spans="1:10" ht="24.5" customHeight="1" thickBot="1" x14ac:dyDescent="0.4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16" t="s">
        <v>13</v>
      </c>
      <c r="G33" s="7" t="str">
        <f t="shared" si="0"/>
        <v>Standard price</v>
      </c>
      <c r="H33" s="10" t="str">
        <v>02</v>
      </c>
      <c r="I33" s="10" t="str">
        <v>CA</v>
      </c>
      <c r="J33" s="7" t="str">
        <v>DEC</v>
      </c>
    </row>
    <row r="34" spans="1:10" ht="25.5" customHeight="1" thickBot="1" x14ac:dyDescent="0.4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15" t="s">
        <v>9</v>
      </c>
      <c r="G34" s="7" t="str">
        <f t="shared" si="0"/>
        <v>High price</v>
      </c>
      <c r="H34" s="10" t="str">
        <v>17</v>
      </c>
      <c r="I34" s="10" t="str">
        <v>IN</v>
      </c>
      <c r="J34" s="7" t="str">
        <v>JUN</v>
      </c>
    </row>
    <row r="35" spans="1:10" ht="27.5" customHeight="1" thickBot="1" x14ac:dyDescent="0.4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16" t="s">
        <v>53</v>
      </c>
      <c r="G35" s="7" t="str">
        <f t="shared" si="0"/>
        <v>Standard price</v>
      </c>
      <c r="H35" s="10" t="str">
        <v>09</v>
      </c>
      <c r="I35" s="10" t="str">
        <v>FR</v>
      </c>
      <c r="J35" s="7" t="str"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23MBA5102 Surya R</dc:creator>
  <cp:lastModifiedBy>23MBA5102 Surya R</cp:lastModifiedBy>
  <dcterms:created xsi:type="dcterms:W3CDTF">2025-09-19T05:39:50Z</dcterms:created>
  <dcterms:modified xsi:type="dcterms:W3CDTF">2025-12-03T09:52:18Z</dcterms:modified>
</cp:coreProperties>
</file>