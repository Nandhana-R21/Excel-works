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382ED17484CF94/Documents/data analytics/entri/"/>
    </mc:Choice>
  </mc:AlternateContent>
  <xr:revisionPtr revIDLastSave="33" documentId="8_{24B1234E-1311-47ED-90E2-659649E3594D}" xr6:coauthVersionLast="47" xr6:coauthVersionMax="47" xr10:uidLastSave="{57718443-1C6F-44D8-874A-12826F86D379}"/>
  <bookViews>
    <workbookView xWindow="-110" yWindow="-110" windowWidth="19420" windowHeight="10300" xr2:uid="{182CA228-98D1-4606-AA5F-867D1F806711}"/>
  </bookViews>
  <sheets>
    <sheet name="Table1" sheetId="3" r:id="rId1"/>
    <sheet name="Sheet1" sheetId="1" r:id="rId2"/>
    <sheet name="Sheet2" sheetId="2" r:id="rId3"/>
  </sheets>
  <definedNames>
    <definedName name="ExternalData_1" localSheetId="0" hidden="1">Table1!$A$1:$K$32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2" i="1"/>
  <c r="G2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P6" i="1"/>
  <c r="P3" i="1"/>
  <c r="P4" i="1"/>
  <c r="P5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E32" i="1" l="1"/>
  <c r="E24" i="1"/>
  <c r="E16" i="1"/>
  <c r="E8" i="1"/>
  <c r="E31" i="1"/>
  <c r="E23" i="1"/>
  <c r="E15" i="1"/>
  <c r="E7" i="1"/>
  <c r="E28" i="1"/>
  <c r="E20" i="1"/>
  <c r="E12" i="1"/>
  <c r="E4" i="1"/>
  <c r="E27" i="1"/>
  <c r="E19" i="1"/>
  <c r="E11" i="1"/>
  <c r="E3" i="1"/>
  <c r="E30" i="1"/>
  <c r="E26" i="1"/>
  <c r="E22" i="1"/>
  <c r="E18" i="1"/>
  <c r="E14" i="1"/>
  <c r="E10" i="1"/>
  <c r="E6" i="1"/>
  <c r="E2" i="1"/>
  <c r="E29" i="1"/>
  <c r="E25" i="1"/>
  <c r="E21" i="1"/>
  <c r="E17" i="1"/>
  <c r="E13" i="1"/>
  <c r="E9" i="1"/>
  <c r="E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78BF41-B72F-4818-BD8F-E962D0079C0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<sst xmlns="http://schemas.openxmlformats.org/spreadsheetml/2006/main" count="440" uniqueCount="182">
  <si>
    <t>Product ID</t>
  </si>
  <si>
    <t>Product Name</t>
  </si>
  <si>
    <t>Brand Name</t>
  </si>
  <si>
    <t>Price ($)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</si>
  <si>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</si>
  <si>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</si>
  <si>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</si>
  <si>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</si>
  <si>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</si>
  <si>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</si>
  <si>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</si>
  <si>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</si>
  <si>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</si>
  <si>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</si>
  <si>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</si>
  <si>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</si>
  <si>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</si>
  <si>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</si>
  <si>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</si>
  <si>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</si>
  <si>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</si>
  <si>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</si>
  <si>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</si>
  <si>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</si>
  <si>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</si>
  <si>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</si>
  <si>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</si>
  <si>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</si>
  <si>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</si>
  <si>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</si>
  <si>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</si>
  <si>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</si>
  <si>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</si>
  <si>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</si>
  <si>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</si>
  <si>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</si>
  <si>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</si>
  <si>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</si>
  <si>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</si>
  <si>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</si>
  <si>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</si>
  <si>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</si>
  <si>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</si>
  <si>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</si>
  <si>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</si>
  <si>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</si>
  <si>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</si>
  <si>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</si>
  <si>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</si>
  <si>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</si>
  <si>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</si>
  <si>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</si>
  <si>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</si>
  <si>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</si>
  <si>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</si>
  <si>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</si>
  <si>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</si>
  <si>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</si>
  <si>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</si>
  <si>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</si>
  <si>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</si>
  <si>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</si>
  <si>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price impute</t>
  </si>
  <si>
    <t>category unknown</t>
  </si>
  <si>
    <r>
      <t xml:space="preserve">   To analyze the categories with missing values I created a column named " </t>
    </r>
    <r>
      <rPr>
        <sz val="11"/>
        <color theme="5" tint="-0.499984740745262"/>
        <rFont val="Calibri"/>
        <family val="2"/>
        <scheme val="minor"/>
      </rPr>
      <t>category unknown</t>
    </r>
    <r>
      <rPr>
        <sz val="11"/>
        <color theme="1"/>
        <rFont val="Calibri"/>
        <family val="2"/>
        <scheme val="minor"/>
      </rPr>
      <t>".</t>
    </r>
  </si>
  <si>
    <t>1. HANDLING MISSING VALUES</t>
  </si>
  <si>
    <t>2. CORRECTING INCONSISTENT DATA</t>
  </si>
  <si>
    <t xml:space="preserve"> *  Used "Find and Replace " function to fix and replace these typos and inconsistent text formats.</t>
  </si>
  <si>
    <t>3. REMOVING DUPLICATES</t>
  </si>
  <si>
    <t xml:space="preserve"> * Identified 3 duplicate values. </t>
  </si>
  <si>
    <t>4. SPLITTING AND MERGING DATA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</si>
  <si>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</si>
  <si>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</si>
  <si>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</si>
  <si>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</si>
  <si>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</si>
  <si>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</si>
  <si>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</si>
  <si>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</si>
  <si>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</si>
  <si>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</si>
  <si>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</si>
  <si>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</si>
  <si>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</si>
  <si>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</si>
  <si>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</si>
  <si>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</si>
  <si>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</si>
  <si>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</si>
  <si>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</si>
  <si>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</si>
  <si>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</si>
  <si>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</si>
  <si>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</si>
  <si>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</si>
  <si>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</si>
  <si>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 xml:space="preserve"> </t>
  </si>
  <si>
    <t>Country Code</t>
  </si>
  <si>
    <t>Manufacturing Date</t>
  </si>
  <si>
    <t>5. NUMBER FORMATTING</t>
  </si>
  <si>
    <t xml:space="preserve">  * Formated the data type of "price" column into "currency" formate</t>
  </si>
  <si>
    <t>DD-MM-YY</t>
  </si>
  <si>
    <t xml:space="preserve">  * Formated the "Manufacturing Date" column to display dates in  "DD-MM-YYYY " format. </t>
  </si>
  <si>
    <t>6. CONDITIONAL FORMATTING</t>
  </si>
  <si>
    <t xml:space="preserve"> * Applied data bar or color scales conditional formatting in the "Price" column.</t>
  </si>
  <si>
    <t xml:space="preserve"> * Created a custom rule for conditional formatting in the "Category" column to highlight cells where the category is "Electronics."</t>
  </si>
  <si>
    <t>Date</t>
  </si>
  <si>
    <t>Month</t>
  </si>
  <si>
    <t>* Missing values in price column      = 6</t>
  </si>
  <si>
    <t>Handling  products with missing price information =   Added a column named "price impute" to find the average of the products with missing price information</t>
  </si>
  <si>
    <t>* Products with missing categories =  7</t>
  </si>
  <si>
    <r>
      <t xml:space="preserve"> * Identified inconistent text formats present in the column "Product Name" and replaced.         =      </t>
    </r>
    <r>
      <rPr>
        <sz val="11"/>
        <color theme="5" tint="-0.499984740745262"/>
        <rFont val="Calibri"/>
        <family val="2"/>
        <scheme val="minor"/>
      </rPr>
      <t>smartphone -&gt; Smartphone (2)</t>
    </r>
  </si>
  <si>
    <r>
      <t xml:space="preserve">                                                                                                                                                                             =      </t>
    </r>
    <r>
      <rPr>
        <sz val="11"/>
        <color theme="5" tint="-0.499984740745262"/>
        <rFont val="Calibri"/>
        <family val="2"/>
        <scheme val="minor"/>
      </rPr>
      <t>laptop -&gt; Laptop(6)</t>
    </r>
  </si>
  <si>
    <r>
      <t xml:space="preserve">                                                                                                                                                                             =      </t>
    </r>
    <r>
      <rPr>
        <sz val="11"/>
        <color theme="5" tint="-0.499984740745262"/>
        <rFont val="Calibri"/>
        <family val="2"/>
        <scheme val="minor"/>
      </rPr>
      <t>headphones -&gt; Headphones(3)</t>
    </r>
  </si>
  <si>
    <r>
      <t xml:space="preserve"> * Identified and fixed the typos present in the "Category" column                                                      =      </t>
    </r>
    <r>
      <rPr>
        <sz val="11"/>
        <color theme="5" tint="-0.499984740745262"/>
        <rFont val="Calibri"/>
        <family val="2"/>
        <scheme val="minor"/>
      </rPr>
      <t>Electroni -&gt; Electronics(14)</t>
    </r>
  </si>
  <si>
    <r>
      <t xml:space="preserve">                                                                                                                                                                             =       </t>
    </r>
    <r>
      <rPr>
        <sz val="11"/>
        <color theme="5" tint="-0.499984740745262"/>
        <rFont val="Calibri"/>
        <family val="2"/>
        <scheme val="minor"/>
      </rPr>
      <t>Electronicscs -&gt;  Electronics (9)</t>
    </r>
  </si>
  <si>
    <r>
      <t xml:space="preserve"> *  Split the column "Product ID"  using text to column function.                                                           =     </t>
    </r>
    <r>
      <rPr>
        <sz val="11"/>
        <color theme="5" tint="-0.499984740745262"/>
        <rFont val="Calibri"/>
        <family val="2"/>
        <scheme val="minor"/>
      </rPr>
      <t>Manufacturing date and Country Code</t>
    </r>
  </si>
  <si>
    <r>
      <t xml:space="preserve"> *  Merged the columns "Product name" and "Brand name"  using "CONCATENATE" function.               =   </t>
    </r>
    <r>
      <rPr>
        <sz val="11"/>
        <color theme="5" tint="-0.499984740745262"/>
        <rFont val="Calibri"/>
        <family val="2"/>
        <scheme val="minor"/>
      </rPr>
      <t>Product Brand</t>
    </r>
  </si>
  <si>
    <t>Manufacturing  Date</t>
  </si>
  <si>
    <t>28 - JAN</t>
  </si>
  <si>
    <t>Laptop - Dell</t>
  </si>
  <si>
    <t>15 - FEB</t>
  </si>
  <si>
    <t>Sneakers - Nike</t>
  </si>
  <si>
    <t>3 - MAR</t>
  </si>
  <si>
    <t>Coffee Maker - Keurig</t>
  </si>
  <si>
    <t>11 - APR</t>
  </si>
  <si>
    <t>Smartphone - Samsung</t>
  </si>
  <si>
    <t>22 - MAY</t>
  </si>
  <si>
    <t>Backpack - North Face</t>
  </si>
  <si>
    <t/>
  </si>
  <si>
    <t>UNKNOWN</t>
  </si>
  <si>
    <t>7 - JUN</t>
  </si>
  <si>
    <t>Headphones - Sony</t>
  </si>
  <si>
    <t>19 - JUL</t>
  </si>
  <si>
    <t>T-shirt - Adidas</t>
  </si>
  <si>
    <t>23 - AUG</t>
  </si>
  <si>
    <t>Blender - Ninja</t>
  </si>
  <si>
    <t>5 - SEP</t>
  </si>
  <si>
    <t>Tablet - Apple</t>
  </si>
  <si>
    <t>14 - OCT</t>
  </si>
  <si>
    <t>Hiking Boots - Timberland</t>
  </si>
  <si>
    <t>17 - JUN</t>
  </si>
  <si>
    <t>Laptop - HP</t>
  </si>
  <si>
    <t>25 - NOV</t>
  </si>
  <si>
    <t>Sneakers - Adidas</t>
  </si>
  <si>
    <t>8 - DEC</t>
  </si>
  <si>
    <t>Coffee Maker - Nespresso</t>
  </si>
  <si>
    <t>18 - FEB</t>
  </si>
  <si>
    <t>Smartwatch - Fitbit</t>
  </si>
  <si>
    <t>16 - APR</t>
  </si>
  <si>
    <t>Headphones - Bose</t>
  </si>
  <si>
    <t>21 - AUG</t>
  </si>
  <si>
    <t>Laptop Bag - Samsonite</t>
  </si>
  <si>
    <t>20 - AUG</t>
  </si>
  <si>
    <t>Smartwatch - Huawei</t>
  </si>
  <si>
    <t>27 - JAN</t>
  </si>
  <si>
    <t>Laptop - Asus</t>
  </si>
  <si>
    <t>1 - MAR</t>
  </si>
  <si>
    <t>Sunglasses - Oakley</t>
  </si>
  <si>
    <t>14 - AUG</t>
  </si>
  <si>
    <t>Camping Tent - Coleman</t>
  </si>
  <si>
    <t>14 - MAY</t>
  </si>
  <si>
    <t>Camera - Nikon</t>
  </si>
  <si>
    <t>9 - JAN</t>
  </si>
  <si>
    <t>Microwave - Panasonic</t>
  </si>
  <si>
    <t>Fitness Tracker - Xiaomi</t>
  </si>
  <si>
    <t>29 - SEP</t>
  </si>
  <si>
    <t>Smartphone - Google</t>
  </si>
  <si>
    <t>3 - JUN</t>
  </si>
  <si>
    <t>Sunglasses - Ray-Ban</t>
  </si>
  <si>
    <t>11 - JUL</t>
  </si>
  <si>
    <t>Blender - Vitamix</t>
  </si>
  <si>
    <t>7 - MAR</t>
  </si>
  <si>
    <t>Dress - Zara</t>
  </si>
  <si>
    <t>13 - APR</t>
  </si>
  <si>
    <t>Toaster - Hamilton</t>
  </si>
  <si>
    <t>24 - MAY</t>
  </si>
  <si>
    <t>Fitness Tracker - Garmin</t>
  </si>
  <si>
    <t>2 - DEC</t>
  </si>
  <si>
    <t>Jeans - Levi's</t>
  </si>
  <si>
    <t>9 - JUL</t>
  </si>
  <si>
    <t>Watch - 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</si>
</sst>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5" tint="-0.499984740745262"/>
      <name val="Arial"/>
      <family val="2"/>
    </font>
    <font>
      <b/>
      <sz val="10"/>
      <color theme="7" tint="-0.499984740745262"/>
      <name val="Arial"/>
      <family val="2"/>
    </font>
    <font>
      <sz val="10"/>
      <color rgb="FFFF0000"/>
      <name val="Arial"/>
      <family val="2"/>
    </font>
    <font>
      <sz val="11"/>
      <color theme="5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/>
    <xf numFmtId="0" fontId="5" fillId="2" borderId="1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164" fontId="6" fillId="0" borderId="1" xfId="0" applyNumberFormat="1" applyFont="1" applyBorder="1" applyAlignment="1">
      <alignment horizontal="center" wrapText="1"/>
    </xf>
    <xf numFmtId="165" fontId="4" fillId="2" borderId="1" xfId="0" applyNumberFormat="1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65" fontId="0" fillId="0" borderId="0" xfId="0" applyNumberFormat="1"/>
    <xf numFmtId="0" fontId="4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14" fontId="0" fillId="0" borderId="0" xfId="0" applyNumberForma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25"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₹&quot;\ #,##0.00"/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₹&quot;\ #,##0.00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-F800]dddd\,\ mmmm\ dd\,\ yyyy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-F800]dddd\,\ mmmm\ dd\,\ yyyy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4DD0E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7B6947-CE7F-40C8-A304-F6A15B4829B6}" autoFormatId="16" applyNumberFormats="0" applyBorderFormats="0" applyFontFormats="0" applyPatternFormats="0" applyAlignmentFormats="0" applyWidthHeightFormats="0">
  <queryTableRefresh nextId="12">
    <queryTableFields count="11">
      <queryTableField id="1" name="Manufacturing  Date" tableColumnId="1"/>
      <queryTableField id="2" name="DD-MM-YY" tableColumnId="2"/>
      <queryTableField id="3" name="Country Code" tableColumnId="3"/>
      <queryTableField id="4" name="Product Brand" tableColumnId="4"/>
      <queryTableField id="5" name="Product Name" tableColumnId="5"/>
      <queryTableField id="6" name="Brand Name" tableColumnId="6"/>
      <queryTableField id="7" name="price impute" tableColumnId="7"/>
      <queryTableField id="8" name="Price ($)" tableColumnId="8"/>
      <queryTableField id="9" name="Quantity" tableColumnId="9"/>
      <queryTableField id="10" name="Category" tableColumnId="10"/>
      <queryTableField id="11" name="category unknow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3871D2-A376-4F98-A93E-99EC32817288}" name="Table1_1" displayName="Table1_1" ref="A1:K32" tableType="queryTable" totalsRowShown="0">
  <autoFilter ref="A1:K32" xr:uid="{063871D2-A376-4F98-A93E-99EC32817288}"/>
  <tableColumns count="11">
    <tableColumn id="1" xr3:uid="{132B75C7-BED6-4B9B-86AD-DCB7F003935C}" uniqueName="1" name="Manufacturing  Date" queryTableFieldId="1" dataDxfId="24"/>
    <tableColumn id="2" xr3:uid="{2FAE9ED8-28D0-4618-882F-DE90DA992FEF}" uniqueName="2" name="DD-MM-YY" queryTableFieldId="2" dataDxfId="23"/>
    <tableColumn id="3" xr3:uid="{B1E6C4F9-AA4C-4BA0-A838-8959B5872C8A}" uniqueName="3" name="Country Code" queryTableFieldId="3" dataDxfId="22"/>
    <tableColumn id="4" xr3:uid="{1D4A86FB-2DF4-4908-8AEA-91B26C90C0F4}" uniqueName="4" name="Product Brand" queryTableFieldId="4" dataDxfId="21"/>
    <tableColumn id="5" xr3:uid="{397C34BB-099E-423E-BB14-70A78F904796}" uniqueName="5" name="Product Name" queryTableFieldId="5" dataDxfId="20"/>
    <tableColumn id="6" xr3:uid="{BC883D75-A8A4-4351-9C14-5D6ECD065C35}" uniqueName="6" name="Brand Name" queryTableFieldId="6" dataDxfId="19"/>
    <tableColumn id="7" xr3:uid="{771AF874-9696-43F1-A282-71233F1077E6}" uniqueName="7" name="price impute" queryTableFieldId="7"/>
    <tableColumn id="8" xr3:uid="{26EF7663-A717-4FFF-8FFC-D853C1621D9F}" uniqueName="8" name="Price ($)" queryTableFieldId="8"/>
    <tableColumn id="9" xr3:uid="{910FF432-72DA-4A5A-AA1D-1240622A9C3F}" uniqueName="9" name="Quantity" queryTableFieldId="9"/>
    <tableColumn id="10" xr3:uid="{62AB9601-2A0F-4B9E-83F5-53B6B85E23C6}" uniqueName="10" name="Category" queryTableFieldId="10" dataDxfId="18"/>
    <tableColumn id="11" xr3:uid="{AF1D2AED-F699-45CB-871B-14EB5D57E4E4}" uniqueName="11" name="category unknown" queryTableFieldId="11" dataDxfId="17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D0FD4-00EF-45F6-B533-D1296A41E663}" name="Table1" displayName="Table1" ref="C1:P32" totalsRowShown="0" headerRowDxfId="16" tableBorderDxfId="15">
  <autoFilter ref="C1:P32" xr:uid="{AA6D0FD4-00EF-45F6-B533-D1296A41E663}"/>
  <tableColumns count="14">
    <tableColumn id="1" xr3:uid="{208C269F-8512-4CFB-8A36-405F9E1F61D1}" name="Date" dataDxfId="14"/>
    <tableColumn id="2" xr3:uid="{295493BB-E303-4E3B-9618-EEC49E90ADFB}" name="Month" dataDxfId="13"/>
    <tableColumn id="3" xr3:uid="{05C41ADA-9231-47DC-A9BF-F7E9CCEA7DCE}" name="Product ID" dataDxfId="12">
      <calculatedColumnFormula>CONCATENATE(F2,"-",H2)</calculatedColumnFormula>
    </tableColumn>
    <tableColumn id="4" xr3:uid="{513E796A-C09D-47A2-B85E-54AF9B128B10}" name="Manufacturing Date" dataDxfId="11">
      <calculatedColumnFormula>CONCATENATE(C2," - ",D2)</calculatedColumnFormula>
    </tableColumn>
    <tableColumn id="5" xr3:uid="{F4709768-309B-4164-9A80-5A912F12D5CA}" name="DD-MM-YY" dataDxfId="10">
      <calculatedColumnFormula>TEXT(DATEVALUE(F2 &amp; "-2025"), "dd-mm-yy")</calculatedColumnFormula>
    </tableColumn>
    <tableColumn id="6" xr3:uid="{09BA66C9-3E97-4B69-8C44-F88D30D82294}" name="Country Code" dataDxfId="9"/>
    <tableColumn id="7" xr3:uid="{742E19C2-5949-4D23-8F56-6A75DDE9CFFD}" name="Product Brand" dataDxfId="8">
      <calculatedColumnFormula>CONCATENATE(J2," - ",K2)</calculatedColumnFormula>
    </tableColumn>
    <tableColumn id="8" xr3:uid="{FDCEF303-6131-4476-93EA-A89BBD46C1CE}" name="Product Name" dataDxfId="7"/>
    <tableColumn id="9" xr3:uid="{FFD67FFE-42B1-47FC-86A0-16E2466AFA52}" name="Brand Name" dataDxfId="6"/>
    <tableColumn id="10" xr3:uid="{C73384C7-8749-463A-9A1F-7BC483E1CA32}" name="price impute" dataDxfId="5">
      <calculatedColumnFormula>IF(ISBLANK(M2),AVERAGE(M2:M35),M2)</calculatedColumnFormula>
    </tableColumn>
    <tableColumn id="11" xr3:uid="{A7E3D757-7B5C-4934-9FA4-EE5697E4397F}" name="Price ($)" dataDxfId="4"/>
    <tableColumn id="12" xr3:uid="{493B0BE3-0673-4C27-857B-AD24EF05149C}" name="Quantity" dataDxfId="3"/>
    <tableColumn id="13" xr3:uid="{4A23CCAE-9421-4FFC-842F-E8ECDF9BCF2A}" name="Category" dataDxfId="2"/>
    <tableColumn id="14" xr3:uid="{32B40A34-5D73-4848-A6DA-DEC5B149409C}" name="category unknown" dataDxfId="1">
      <calculatedColumnFormula>IF(ISBLANK(O2),"UNKNOWN",O2)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3904-867F-4315-B391-B8E0D15C02FB}">
  <dimension ref="A1:O32"/>
  <sheetViews>
    <sheetView tabSelected="1" workbookViewId="0">
      <selection activeCell="O1" sqref="O1"/>
    </sheetView>
  </sheetViews>
  <sheetFormatPr defaultRowHeight="14.5" x14ac:dyDescent="0.35"/>
  <cols>
    <col min="1" max="1" width="20.54296875" bestFit="1" customWidth="1"/>
    <col min="2" max="2" width="12.36328125" bestFit="1" customWidth="1"/>
    <col min="3" max="3" width="14.54296875" bestFit="1" customWidth="1"/>
    <col min="4" max="4" width="22.54296875" bestFit="1" customWidth="1"/>
    <col min="5" max="5" width="15.1796875" bestFit="1" customWidth="1"/>
    <col min="6" max="6" width="13.453125" bestFit="1" customWidth="1"/>
    <col min="7" max="7" width="13.6328125" bestFit="1" customWidth="1"/>
    <col min="8" max="8" width="9.90625" bestFit="1" customWidth="1"/>
    <col min="9" max="9" width="10.453125" bestFit="1" customWidth="1"/>
    <col min="10" max="10" width="10.54296875" bestFit="1" customWidth="1"/>
    <col min="11" max="11" width="18.7265625" bestFit="1" customWidth="1"/>
    <col min="15" max="15" width="134.90625" bestFit="1" customWidth="1"/>
  </cols>
  <sheetData>
    <row r="1" spans="1:15" x14ac:dyDescent="0.35">
      <c r="A1" t="s">
        <v>118</v>
      </c>
      <c r="B1" t="s">
        <v>101</v>
      </c>
      <c r="C1" t="s">
        <v>97</v>
      </c>
      <c r="D1" t="s">
        <v>95</v>
      </c>
      <c r="E1" t="s">
        <v>1</v>
      </c>
      <c r="F1" t="s">
        <v>2</v>
      </c>
      <c r="G1" t="s">
        <v>62</v>
      </c>
      <c r="H1" t="s">
        <v>3</v>
      </c>
      <c r="I1" t="s">
        <v>4</v>
      </c>
      <c r="J1" t="s">
        <v>5</v>
      </c>
      <c r="K1" t="s">
        <v>63</v>
      </c>
    </row>
    <row r="2" spans="1:15" x14ac:dyDescent="0.35">
      <c r="A2" t="s">
        <v>119</v>
      </c>
      <c r="B2" s="19">
        <v>45685</v>
      </c>
      <c r="C2" t="s">
        <v>72</v>
      </c>
      <c r="D2" t="s">
        <v>120</v>
      </c>
      <c r="E2" t="s">
        <v>28</v>
      </c>
      <c r="F2" t="s">
        <v>6</v>
      </c>
      <c r="G2">
        <v>1000</v>
      </c>
      <c r="H2">
        <v>1000</v>
      </c>
      <c r="I2">
        <v>30</v>
      </c>
      <c r="J2" s="21" t="s">
        <v>7</v>
      </c>
      <c r="K2" t="s">
        <v>7</v>
      </c>
      <c r="O2" s="2" t="s">
        <v>65</v>
      </c>
    </row>
    <row r="3" spans="1:15" x14ac:dyDescent="0.35">
      <c r="A3" t="s">
        <v>121</v>
      </c>
      <c r="B3" s="19">
        <v>45703</v>
      </c>
      <c r="C3" t="s">
        <v>72</v>
      </c>
      <c r="D3" t="s">
        <v>122</v>
      </c>
      <c r="E3" t="s">
        <v>8</v>
      </c>
      <c r="F3" t="s">
        <v>9</v>
      </c>
      <c r="G3">
        <v>80</v>
      </c>
      <c r="H3">
        <v>80</v>
      </c>
      <c r="I3">
        <v>15</v>
      </c>
      <c r="J3" t="s">
        <v>10</v>
      </c>
      <c r="K3" t="s">
        <v>10</v>
      </c>
      <c r="O3" t="s">
        <v>108</v>
      </c>
    </row>
    <row r="4" spans="1:15" x14ac:dyDescent="0.35">
      <c r="A4" t="s">
        <v>123</v>
      </c>
      <c r="B4" s="19">
        <v>45719</v>
      </c>
      <c r="C4" t="s">
        <v>72</v>
      </c>
      <c r="D4" t="s">
        <v>124</v>
      </c>
      <c r="E4" t="s">
        <v>11</v>
      </c>
      <c r="F4" t="s">
        <v>12</v>
      </c>
      <c r="G4">
        <v>130</v>
      </c>
      <c r="H4">
        <v>130</v>
      </c>
      <c r="I4">
        <v>40</v>
      </c>
      <c r="J4" t="s">
        <v>13</v>
      </c>
      <c r="K4" t="s">
        <v>13</v>
      </c>
      <c r="O4" t="s">
        <v>109</v>
      </c>
    </row>
    <row r="5" spans="1:15" x14ac:dyDescent="0.35">
      <c r="A5" t="s">
        <v>125</v>
      </c>
      <c r="B5" s="19">
        <v>45758</v>
      </c>
      <c r="C5" t="s">
        <v>72</v>
      </c>
      <c r="D5" t="s">
        <v>126</v>
      </c>
      <c r="E5" t="s">
        <v>49</v>
      </c>
      <c r="F5" t="s">
        <v>14</v>
      </c>
      <c r="G5">
        <v>900</v>
      </c>
      <c r="H5">
        <v>900</v>
      </c>
      <c r="I5">
        <v>25</v>
      </c>
      <c r="J5" s="21" t="s">
        <v>7</v>
      </c>
      <c r="K5" t="s">
        <v>7</v>
      </c>
      <c r="O5" t="s">
        <v>110</v>
      </c>
    </row>
    <row r="6" spans="1:15" x14ac:dyDescent="0.35">
      <c r="A6" t="s">
        <v>127</v>
      </c>
      <c r="B6" s="19">
        <v>45799</v>
      </c>
      <c r="C6" t="s">
        <v>72</v>
      </c>
      <c r="D6" t="s">
        <v>128</v>
      </c>
      <c r="E6" t="s">
        <v>15</v>
      </c>
      <c r="F6" t="s">
        <v>16</v>
      </c>
      <c r="G6">
        <v>70</v>
      </c>
      <c r="H6">
        <v>70</v>
      </c>
      <c r="I6">
        <v>20</v>
      </c>
      <c r="J6" t="s">
        <v>129</v>
      </c>
      <c r="K6" s="20" t="s">
        <v>130</v>
      </c>
      <c r="O6" t="s">
        <v>64</v>
      </c>
    </row>
    <row r="7" spans="1:15" x14ac:dyDescent="0.35">
      <c r="A7" t="s">
        <v>131</v>
      </c>
      <c r="B7" s="19">
        <v>45815</v>
      </c>
      <c r="C7" t="s">
        <v>78</v>
      </c>
      <c r="D7" t="s">
        <v>132</v>
      </c>
      <c r="E7" t="s">
        <v>17</v>
      </c>
      <c r="F7" t="s">
        <v>18</v>
      </c>
      <c r="G7">
        <v>267.8261</v>
      </c>
      <c r="I7">
        <v>45</v>
      </c>
      <c r="J7" s="21" t="s">
        <v>7</v>
      </c>
      <c r="K7" t="s">
        <v>7</v>
      </c>
    </row>
    <row r="8" spans="1:15" x14ac:dyDescent="0.35">
      <c r="A8" t="s">
        <v>133</v>
      </c>
      <c r="B8" s="19">
        <v>45857</v>
      </c>
      <c r="C8" t="s">
        <v>78</v>
      </c>
      <c r="D8" t="s">
        <v>134</v>
      </c>
      <c r="E8" t="s">
        <v>19</v>
      </c>
      <c r="F8" t="s">
        <v>20</v>
      </c>
      <c r="G8">
        <v>30</v>
      </c>
      <c r="H8">
        <v>30</v>
      </c>
      <c r="I8">
        <v>5</v>
      </c>
      <c r="J8" t="s">
        <v>10</v>
      </c>
      <c r="K8" t="s">
        <v>10</v>
      </c>
      <c r="O8" s="2" t="s">
        <v>66</v>
      </c>
    </row>
    <row r="9" spans="1:15" x14ac:dyDescent="0.35">
      <c r="A9" t="s">
        <v>135</v>
      </c>
      <c r="B9" s="19">
        <v>45892</v>
      </c>
      <c r="C9" t="s">
        <v>78</v>
      </c>
      <c r="D9" t="s">
        <v>136</v>
      </c>
      <c r="E9" t="s">
        <v>21</v>
      </c>
      <c r="F9" t="s">
        <v>22</v>
      </c>
      <c r="G9">
        <v>90</v>
      </c>
      <c r="H9">
        <v>90</v>
      </c>
      <c r="I9">
        <v>35</v>
      </c>
      <c r="J9" t="s">
        <v>13</v>
      </c>
      <c r="K9" t="s">
        <v>13</v>
      </c>
      <c r="O9" t="s">
        <v>111</v>
      </c>
    </row>
    <row r="10" spans="1:15" x14ac:dyDescent="0.35">
      <c r="A10" t="s">
        <v>137</v>
      </c>
      <c r="B10" s="19">
        <v>45905</v>
      </c>
      <c r="C10" t="s">
        <v>78</v>
      </c>
      <c r="D10" t="s">
        <v>138</v>
      </c>
      <c r="E10" t="s">
        <v>23</v>
      </c>
      <c r="F10" t="s">
        <v>24</v>
      </c>
      <c r="G10">
        <v>500</v>
      </c>
      <c r="H10">
        <v>500</v>
      </c>
      <c r="I10">
        <v>50</v>
      </c>
      <c r="J10" s="21" t="s">
        <v>7</v>
      </c>
      <c r="K10" t="s">
        <v>7</v>
      </c>
      <c r="O10" t="s">
        <v>112</v>
      </c>
    </row>
    <row r="11" spans="1:15" x14ac:dyDescent="0.35">
      <c r="A11" t="s">
        <v>139</v>
      </c>
      <c r="B11" s="19">
        <v>45944</v>
      </c>
      <c r="C11" t="s">
        <v>78</v>
      </c>
      <c r="D11" t="s">
        <v>140</v>
      </c>
      <c r="E11" t="s">
        <v>25</v>
      </c>
      <c r="F11" t="s">
        <v>26</v>
      </c>
      <c r="G11">
        <v>130</v>
      </c>
      <c r="H11">
        <v>130</v>
      </c>
      <c r="I11">
        <v>10</v>
      </c>
      <c r="J11" t="s">
        <v>27</v>
      </c>
      <c r="K11" t="s">
        <v>27</v>
      </c>
      <c r="O11" t="s">
        <v>113</v>
      </c>
    </row>
    <row r="12" spans="1:15" x14ac:dyDescent="0.35">
      <c r="A12" t="s">
        <v>141</v>
      </c>
      <c r="B12" s="19">
        <v>45825</v>
      </c>
      <c r="C12" t="s">
        <v>83</v>
      </c>
      <c r="D12" t="s">
        <v>142</v>
      </c>
      <c r="E12" t="s">
        <v>28</v>
      </c>
      <c r="F12" t="s">
        <v>29</v>
      </c>
      <c r="G12">
        <v>950</v>
      </c>
      <c r="H12">
        <v>950</v>
      </c>
      <c r="I12">
        <v>25</v>
      </c>
      <c r="J12" s="21" t="s">
        <v>7</v>
      </c>
      <c r="K12" t="s">
        <v>7</v>
      </c>
      <c r="O12" t="s">
        <v>114</v>
      </c>
    </row>
    <row r="13" spans="1:15" x14ac:dyDescent="0.35">
      <c r="A13" t="s">
        <v>143</v>
      </c>
      <c r="B13" s="19">
        <v>45986</v>
      </c>
      <c r="C13" t="s">
        <v>85</v>
      </c>
      <c r="D13" t="s">
        <v>144</v>
      </c>
      <c r="E13" t="s">
        <v>8</v>
      </c>
      <c r="F13" t="s">
        <v>20</v>
      </c>
      <c r="G13">
        <v>90</v>
      </c>
      <c r="H13">
        <v>90</v>
      </c>
      <c r="I13">
        <v>40</v>
      </c>
      <c r="J13" t="s">
        <v>129</v>
      </c>
      <c r="K13" s="20" t="s">
        <v>130</v>
      </c>
      <c r="O13" t="s">
        <v>115</v>
      </c>
    </row>
    <row r="14" spans="1:15" x14ac:dyDescent="0.35">
      <c r="A14" t="s">
        <v>145</v>
      </c>
      <c r="B14" s="19">
        <v>45999</v>
      </c>
      <c r="C14" t="s">
        <v>87</v>
      </c>
      <c r="D14" t="s">
        <v>146</v>
      </c>
      <c r="E14" t="s">
        <v>11</v>
      </c>
      <c r="F14" t="s">
        <v>30</v>
      </c>
      <c r="G14">
        <v>120</v>
      </c>
      <c r="H14">
        <v>120</v>
      </c>
      <c r="I14">
        <v>35</v>
      </c>
      <c r="J14" t="s">
        <v>129</v>
      </c>
      <c r="K14" s="20" t="s">
        <v>130</v>
      </c>
      <c r="O14" t="s">
        <v>67</v>
      </c>
    </row>
    <row r="15" spans="1:15" x14ac:dyDescent="0.35">
      <c r="A15" t="s">
        <v>147</v>
      </c>
      <c r="B15" s="19">
        <v>45706</v>
      </c>
      <c r="C15" t="s">
        <v>88</v>
      </c>
      <c r="D15" t="s">
        <v>148</v>
      </c>
      <c r="E15" t="s">
        <v>31</v>
      </c>
      <c r="F15" t="s">
        <v>32</v>
      </c>
      <c r="G15">
        <v>150</v>
      </c>
      <c r="H15">
        <v>150</v>
      </c>
      <c r="I15">
        <v>15</v>
      </c>
      <c r="J15" s="21" t="s">
        <v>7</v>
      </c>
      <c r="K15" t="s">
        <v>7</v>
      </c>
    </row>
    <row r="16" spans="1:15" x14ac:dyDescent="0.35">
      <c r="A16" t="s">
        <v>149</v>
      </c>
      <c r="B16" s="19">
        <v>45763</v>
      </c>
      <c r="C16" t="s">
        <v>89</v>
      </c>
      <c r="D16" t="s">
        <v>150</v>
      </c>
      <c r="E16" t="s">
        <v>17</v>
      </c>
      <c r="F16" t="s">
        <v>33</v>
      </c>
      <c r="G16">
        <v>250</v>
      </c>
      <c r="H16">
        <v>250</v>
      </c>
      <c r="I16">
        <v>20</v>
      </c>
      <c r="J16" s="21" t="s">
        <v>7</v>
      </c>
      <c r="K16" t="s">
        <v>7</v>
      </c>
      <c r="O16" s="2" t="s">
        <v>68</v>
      </c>
    </row>
    <row r="17" spans="1:15" x14ac:dyDescent="0.35">
      <c r="A17" t="s">
        <v>151</v>
      </c>
      <c r="B17" s="19">
        <v>45890</v>
      </c>
      <c r="C17" t="s">
        <v>88</v>
      </c>
      <c r="D17" t="s">
        <v>152</v>
      </c>
      <c r="E17" t="s">
        <v>34</v>
      </c>
      <c r="F17" t="s">
        <v>35</v>
      </c>
      <c r="G17">
        <v>50</v>
      </c>
      <c r="H17">
        <v>50</v>
      </c>
      <c r="I17">
        <v>35</v>
      </c>
      <c r="J17" t="s">
        <v>36</v>
      </c>
      <c r="K17" t="s">
        <v>36</v>
      </c>
      <c r="O17" t="s">
        <v>69</v>
      </c>
    </row>
    <row r="18" spans="1:15" x14ac:dyDescent="0.35">
      <c r="A18" t="s">
        <v>153</v>
      </c>
      <c r="B18" s="19">
        <v>45889</v>
      </c>
      <c r="C18" t="s">
        <v>90</v>
      </c>
      <c r="D18" t="s">
        <v>154</v>
      </c>
      <c r="E18" t="s">
        <v>31</v>
      </c>
      <c r="F18" t="s">
        <v>37</v>
      </c>
      <c r="G18">
        <v>160</v>
      </c>
      <c r="H18">
        <v>160</v>
      </c>
      <c r="I18">
        <v>15</v>
      </c>
      <c r="J18" s="21" t="s">
        <v>7</v>
      </c>
      <c r="K18" t="s">
        <v>7</v>
      </c>
    </row>
    <row r="19" spans="1:15" x14ac:dyDescent="0.35">
      <c r="A19" t="s">
        <v>155</v>
      </c>
      <c r="B19" s="19">
        <v>45684</v>
      </c>
      <c r="C19" t="s">
        <v>91</v>
      </c>
      <c r="D19" t="s">
        <v>156</v>
      </c>
      <c r="E19" t="s">
        <v>28</v>
      </c>
      <c r="F19" t="s">
        <v>38</v>
      </c>
      <c r="G19">
        <v>980</v>
      </c>
      <c r="H19">
        <v>980</v>
      </c>
      <c r="I19">
        <v>10</v>
      </c>
      <c r="J19" s="21" t="s">
        <v>7</v>
      </c>
      <c r="K19" t="s">
        <v>7</v>
      </c>
      <c r="O19" s="2" t="s">
        <v>70</v>
      </c>
    </row>
    <row r="20" spans="1:15" x14ac:dyDescent="0.35">
      <c r="A20" t="s">
        <v>157</v>
      </c>
      <c r="B20" s="19">
        <v>45717</v>
      </c>
      <c r="C20" t="s">
        <v>78</v>
      </c>
      <c r="D20" t="s">
        <v>158</v>
      </c>
      <c r="E20" t="s">
        <v>39</v>
      </c>
      <c r="F20" t="s">
        <v>40</v>
      </c>
      <c r="G20">
        <v>150</v>
      </c>
      <c r="H20">
        <v>150</v>
      </c>
      <c r="I20">
        <v>15</v>
      </c>
      <c r="J20" t="s">
        <v>10</v>
      </c>
      <c r="K20" t="s">
        <v>10</v>
      </c>
      <c r="O20" t="s">
        <v>116</v>
      </c>
    </row>
    <row r="21" spans="1:15" x14ac:dyDescent="0.35">
      <c r="A21" t="s">
        <v>159</v>
      </c>
      <c r="B21" s="19">
        <v>45883</v>
      </c>
      <c r="C21" t="s">
        <v>72</v>
      </c>
      <c r="D21" t="s">
        <v>160</v>
      </c>
      <c r="E21" t="s">
        <v>41</v>
      </c>
      <c r="F21" t="s">
        <v>42</v>
      </c>
      <c r="G21">
        <v>251</v>
      </c>
      <c r="I21">
        <v>10</v>
      </c>
      <c r="J21" t="s">
        <v>27</v>
      </c>
      <c r="K21" t="s">
        <v>27</v>
      </c>
      <c r="O21" t="s">
        <v>117</v>
      </c>
    </row>
    <row r="22" spans="1:15" x14ac:dyDescent="0.35">
      <c r="A22" t="s">
        <v>161</v>
      </c>
      <c r="B22" s="19">
        <v>45791</v>
      </c>
      <c r="C22" t="s">
        <v>92</v>
      </c>
      <c r="D22" t="s">
        <v>162</v>
      </c>
      <c r="E22" t="s">
        <v>43</v>
      </c>
      <c r="F22" t="s">
        <v>44</v>
      </c>
      <c r="G22">
        <v>700</v>
      </c>
      <c r="H22">
        <v>700</v>
      </c>
      <c r="I22">
        <v>50</v>
      </c>
      <c r="J22" s="21" t="s">
        <v>7</v>
      </c>
      <c r="K22" t="s">
        <v>7</v>
      </c>
    </row>
    <row r="23" spans="1:15" x14ac:dyDescent="0.35">
      <c r="A23" t="s">
        <v>163</v>
      </c>
      <c r="B23" s="19">
        <v>45666</v>
      </c>
      <c r="C23" t="s">
        <v>88</v>
      </c>
      <c r="D23" t="s">
        <v>164</v>
      </c>
      <c r="E23" t="s">
        <v>45</v>
      </c>
      <c r="F23" t="s">
        <v>46</v>
      </c>
      <c r="G23">
        <v>80</v>
      </c>
      <c r="H23">
        <v>80</v>
      </c>
      <c r="I23">
        <v>20</v>
      </c>
      <c r="J23" t="s">
        <v>13</v>
      </c>
      <c r="K23" t="s">
        <v>13</v>
      </c>
      <c r="O23" s="2" t="s">
        <v>99</v>
      </c>
    </row>
    <row r="24" spans="1:15" x14ac:dyDescent="0.35">
      <c r="A24" t="s">
        <v>133</v>
      </c>
      <c r="B24" s="19">
        <v>45857</v>
      </c>
      <c r="C24" t="s">
        <v>93</v>
      </c>
      <c r="D24" t="s">
        <v>165</v>
      </c>
      <c r="E24" t="s">
        <v>47</v>
      </c>
      <c r="F24" t="s">
        <v>48</v>
      </c>
      <c r="G24">
        <v>150</v>
      </c>
      <c r="H24">
        <v>150</v>
      </c>
      <c r="I24">
        <v>30</v>
      </c>
      <c r="J24" t="s">
        <v>129</v>
      </c>
      <c r="K24" s="20" t="s">
        <v>130</v>
      </c>
      <c r="O24" t="s">
        <v>100</v>
      </c>
    </row>
    <row r="25" spans="1:15" x14ac:dyDescent="0.35">
      <c r="A25" t="s">
        <v>166</v>
      </c>
      <c r="B25" s="19">
        <v>45929</v>
      </c>
      <c r="C25" t="s">
        <v>88</v>
      </c>
      <c r="D25" t="s">
        <v>167</v>
      </c>
      <c r="E25" t="s">
        <v>49</v>
      </c>
      <c r="F25" t="s">
        <v>50</v>
      </c>
      <c r="G25">
        <v>800</v>
      </c>
      <c r="H25">
        <v>800</v>
      </c>
      <c r="I25">
        <v>45</v>
      </c>
      <c r="J25" s="21" t="s">
        <v>7</v>
      </c>
      <c r="K25" t="s">
        <v>7</v>
      </c>
      <c r="O25" t="s">
        <v>102</v>
      </c>
    </row>
    <row r="26" spans="1:15" x14ac:dyDescent="0.35">
      <c r="A26" t="s">
        <v>168</v>
      </c>
      <c r="B26" s="19">
        <v>45811</v>
      </c>
      <c r="C26" t="s">
        <v>88</v>
      </c>
      <c r="D26" t="s">
        <v>169</v>
      </c>
      <c r="E26" t="s">
        <v>39</v>
      </c>
      <c r="F26" t="s">
        <v>51</v>
      </c>
      <c r="G26">
        <v>130</v>
      </c>
      <c r="I26">
        <v>25</v>
      </c>
      <c r="J26" t="s">
        <v>10</v>
      </c>
      <c r="K26" t="s">
        <v>10</v>
      </c>
    </row>
    <row r="27" spans="1:15" x14ac:dyDescent="0.35">
      <c r="A27" t="s">
        <v>170</v>
      </c>
      <c r="B27" s="19">
        <v>45849</v>
      </c>
      <c r="C27" t="s">
        <v>88</v>
      </c>
      <c r="D27" t="s">
        <v>171</v>
      </c>
      <c r="E27" t="s">
        <v>21</v>
      </c>
      <c r="F27" t="s">
        <v>52</v>
      </c>
      <c r="G27">
        <v>400</v>
      </c>
      <c r="H27">
        <v>400</v>
      </c>
      <c r="I27">
        <v>40</v>
      </c>
      <c r="J27" t="s">
        <v>13</v>
      </c>
      <c r="K27" t="s">
        <v>13</v>
      </c>
      <c r="O27" s="2" t="s">
        <v>103</v>
      </c>
    </row>
    <row r="28" spans="1:15" x14ac:dyDescent="0.35">
      <c r="A28" t="s">
        <v>172</v>
      </c>
      <c r="B28" s="19">
        <v>45723</v>
      </c>
      <c r="C28" t="s">
        <v>88</v>
      </c>
      <c r="D28" t="s">
        <v>173</v>
      </c>
      <c r="E28" t="s">
        <v>53</v>
      </c>
      <c r="F28" t="s">
        <v>54</v>
      </c>
      <c r="G28">
        <v>60</v>
      </c>
      <c r="H28">
        <v>60</v>
      </c>
      <c r="I28">
        <v>30</v>
      </c>
      <c r="J28" t="s">
        <v>10</v>
      </c>
      <c r="K28" t="s">
        <v>10</v>
      </c>
      <c r="O28" t="s">
        <v>104</v>
      </c>
    </row>
    <row r="29" spans="1:15" x14ac:dyDescent="0.35">
      <c r="A29" t="s">
        <v>174</v>
      </c>
      <c r="B29" s="19">
        <v>45760</v>
      </c>
      <c r="C29" t="s">
        <v>88</v>
      </c>
      <c r="D29" t="s">
        <v>175</v>
      </c>
      <c r="E29" t="s">
        <v>55</v>
      </c>
      <c r="F29" t="s">
        <v>56</v>
      </c>
      <c r="G29">
        <v>40</v>
      </c>
      <c r="H29">
        <v>40</v>
      </c>
      <c r="I29">
        <v>10</v>
      </c>
      <c r="J29" t="s">
        <v>13</v>
      </c>
      <c r="K29" t="s">
        <v>13</v>
      </c>
      <c r="O29" t="s">
        <v>105</v>
      </c>
    </row>
    <row r="30" spans="1:15" x14ac:dyDescent="0.35">
      <c r="A30" t="s">
        <v>176</v>
      </c>
      <c r="B30" s="19">
        <v>45801</v>
      </c>
      <c r="C30" t="s">
        <v>88</v>
      </c>
      <c r="D30" t="s">
        <v>177</v>
      </c>
      <c r="E30" t="s">
        <v>47</v>
      </c>
      <c r="F30" t="s">
        <v>57</v>
      </c>
      <c r="G30">
        <v>130</v>
      </c>
      <c r="H30">
        <v>130</v>
      </c>
      <c r="I30">
        <v>5</v>
      </c>
      <c r="J30" s="21" t="s">
        <v>7</v>
      </c>
      <c r="K30" t="s">
        <v>7</v>
      </c>
    </row>
    <row r="31" spans="1:15" x14ac:dyDescent="0.35">
      <c r="A31" t="s">
        <v>178</v>
      </c>
      <c r="B31" s="19">
        <v>45993</v>
      </c>
      <c r="C31" t="s">
        <v>88</v>
      </c>
      <c r="D31" t="s">
        <v>179</v>
      </c>
      <c r="E31" t="s">
        <v>58</v>
      </c>
      <c r="F31" t="s">
        <v>59</v>
      </c>
      <c r="G31">
        <v>50</v>
      </c>
      <c r="H31">
        <v>50</v>
      </c>
      <c r="I31">
        <v>50</v>
      </c>
      <c r="J31" t="s">
        <v>10</v>
      </c>
      <c r="K31" t="s">
        <v>10</v>
      </c>
    </row>
    <row r="32" spans="1:15" x14ac:dyDescent="0.35">
      <c r="A32" t="s">
        <v>180</v>
      </c>
      <c r="B32" s="19">
        <v>45847</v>
      </c>
      <c r="C32" t="s">
        <v>94</v>
      </c>
      <c r="D32" t="s">
        <v>181</v>
      </c>
      <c r="E32" t="s">
        <v>60</v>
      </c>
      <c r="F32" t="s">
        <v>61</v>
      </c>
      <c r="G32">
        <v>100</v>
      </c>
      <c r="H32">
        <v>100</v>
      </c>
      <c r="I32">
        <v>20</v>
      </c>
      <c r="J32" t="s">
        <v>36</v>
      </c>
      <c r="K32" t="s">
        <v>36</v>
      </c>
    </row>
  </sheetData>
  <conditionalFormatting sqref="H1:H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{B1F14C33-1FB7-4C3E-9B67-69987AFD4CF0}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F14C33-1FB7-4C3E-9B67-69987AFD4C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7513-95AD-4935-B97A-577AA0DAC246}">
  <dimension ref="C1:T32"/>
  <sheetViews>
    <sheetView topLeftCell="J1" workbookViewId="0">
      <selection activeCell="M1" sqref="M1:M1048576"/>
    </sheetView>
  </sheetViews>
  <sheetFormatPr defaultRowHeight="14.5" x14ac:dyDescent="0.35"/>
  <cols>
    <col min="3" max="5" width="13.90625" customWidth="1"/>
    <col min="6" max="6" width="19.7265625" style="15" customWidth="1"/>
    <col min="7" max="7" width="13.90625" style="15" customWidth="1"/>
    <col min="8" max="8" width="14.7265625" customWidth="1"/>
    <col min="9" max="9" width="21.26953125" bestFit="1" customWidth="1"/>
    <col min="10" max="10" width="15" customWidth="1"/>
    <col min="11" max="11" width="13.36328125" customWidth="1"/>
    <col min="12" max="12" width="13.453125" customWidth="1"/>
    <col min="13" max="13" width="12.54296875" customWidth="1"/>
    <col min="14" max="14" width="10.1796875" customWidth="1"/>
    <col min="15" max="15" width="15.26953125" customWidth="1"/>
    <col min="16" max="16" width="18.7265625" customWidth="1"/>
    <col min="20" max="20" width="134.90625" bestFit="1" customWidth="1"/>
    <col min="21" max="21" width="62.26953125" customWidth="1"/>
  </cols>
  <sheetData>
    <row r="1" spans="3:20" ht="27" thickBot="1" x14ac:dyDescent="0.4">
      <c r="C1" s="16" t="s">
        <v>106</v>
      </c>
      <c r="D1" s="5" t="s">
        <v>107</v>
      </c>
      <c r="E1" s="1" t="s">
        <v>0</v>
      </c>
      <c r="F1" s="13" t="s">
        <v>98</v>
      </c>
      <c r="G1" s="13" t="s">
        <v>101</v>
      </c>
      <c r="H1" s="1" t="s">
        <v>97</v>
      </c>
      <c r="I1" s="5" t="s">
        <v>95</v>
      </c>
      <c r="J1" s="1" t="s">
        <v>1</v>
      </c>
      <c r="K1" s="1" t="s">
        <v>2</v>
      </c>
      <c r="L1" s="3" t="s">
        <v>62</v>
      </c>
      <c r="M1" s="1" t="s">
        <v>3</v>
      </c>
      <c r="N1" s="1" t="s">
        <v>4</v>
      </c>
      <c r="O1" s="1" t="s">
        <v>5</v>
      </c>
      <c r="P1" s="4" t="s">
        <v>63</v>
      </c>
    </row>
    <row r="2" spans="3:20" ht="15" thickBot="1" x14ac:dyDescent="0.4">
      <c r="C2" s="17">
        <v>28</v>
      </c>
      <c r="D2" s="6" t="s">
        <v>71</v>
      </c>
      <c r="E2" s="6" t="str">
        <f>CONCATENATE(F2,"-",H2)</f>
        <v>28 - JAN-US</v>
      </c>
      <c r="F2" s="14" t="str">
        <f t="shared" ref="F2:F32" si="0">CONCATENATE(C2," - ",D2)</f>
        <v>28 - JAN</v>
      </c>
      <c r="G2" s="14" t="str">
        <f t="shared" ref="G2:G32" si="1">TEXT(DATEVALUE(F2 &amp; "-2025"), "dd-mm-yy")</f>
        <v>28-01-25</v>
      </c>
      <c r="H2" s="6" t="s">
        <v>72</v>
      </c>
      <c r="I2" s="6" t="str">
        <f>CONCATENATE(J2," - ",K2)</f>
        <v>Laptop - Dell</v>
      </c>
      <c r="J2" s="6" t="s">
        <v>28</v>
      </c>
      <c r="K2" s="6" t="s">
        <v>6</v>
      </c>
      <c r="L2" s="7">
        <f t="shared" ref="L2:L32" si="2">IF(ISBLANK(M2),AVERAGE(M2:M35),M2)</f>
        <v>1000</v>
      </c>
      <c r="M2" s="7">
        <v>1000</v>
      </c>
      <c r="N2" s="6">
        <v>30</v>
      </c>
      <c r="O2" s="6" t="s">
        <v>7</v>
      </c>
      <c r="P2" s="8" t="str">
        <f t="shared" ref="P2:P32" si="3">IF(ISBLANK(O2),"UNKNOWN",O2)</f>
        <v>Electronics</v>
      </c>
      <c r="T2" s="2"/>
    </row>
    <row r="3" spans="3:20" ht="15" thickBot="1" x14ac:dyDescent="0.4">
      <c r="C3" s="18">
        <v>15</v>
      </c>
      <c r="D3" s="9" t="s">
        <v>73</v>
      </c>
      <c r="E3" s="6" t="str">
        <f t="shared" ref="E3:E32" si="4">CONCATENATE(F3,"-",H3)</f>
        <v>15 - FEB-US</v>
      </c>
      <c r="F3" s="14" t="str">
        <f t="shared" si="0"/>
        <v>15 - FEB</v>
      </c>
      <c r="G3" s="14" t="str">
        <f t="shared" si="1"/>
        <v>15-02-25</v>
      </c>
      <c r="H3" s="9" t="s">
        <v>72</v>
      </c>
      <c r="I3" s="6" t="str">
        <f t="shared" ref="I3:I32" si="5">CONCATENATE(J3," - ",K3)</f>
        <v>Sneakers - Nike</v>
      </c>
      <c r="J3" s="9" t="s">
        <v>8</v>
      </c>
      <c r="K3" s="9" t="s">
        <v>9</v>
      </c>
      <c r="L3" s="7">
        <f t="shared" si="2"/>
        <v>80</v>
      </c>
      <c r="M3" s="10">
        <v>80</v>
      </c>
      <c r="N3" s="9">
        <v>15</v>
      </c>
      <c r="O3" s="9" t="s">
        <v>10</v>
      </c>
      <c r="P3" s="8" t="str">
        <f t="shared" si="3"/>
        <v>Fashion</v>
      </c>
    </row>
    <row r="4" spans="3:20" ht="18.5" customHeight="1" thickBot="1" x14ac:dyDescent="0.4">
      <c r="C4" s="17">
        <v>3</v>
      </c>
      <c r="D4" s="6" t="s">
        <v>74</v>
      </c>
      <c r="E4" s="6" t="str">
        <f t="shared" si="4"/>
        <v>3 - MAR-US</v>
      </c>
      <c r="F4" s="14" t="str">
        <f t="shared" si="0"/>
        <v>3 - MAR</v>
      </c>
      <c r="G4" s="14" t="str">
        <f t="shared" si="1"/>
        <v>03-03-25</v>
      </c>
      <c r="H4" s="6" t="s">
        <v>72</v>
      </c>
      <c r="I4" s="6" t="str">
        <f t="shared" si="5"/>
        <v>Coffee Maker - Keurig</v>
      </c>
      <c r="J4" s="6" t="s">
        <v>11</v>
      </c>
      <c r="K4" s="6" t="s">
        <v>12</v>
      </c>
      <c r="L4" s="7">
        <f t="shared" si="2"/>
        <v>130</v>
      </c>
      <c r="M4" s="7">
        <v>130</v>
      </c>
      <c r="N4" s="6">
        <v>40</v>
      </c>
      <c r="O4" s="6" t="s">
        <v>13</v>
      </c>
      <c r="P4" s="8" t="str">
        <f t="shared" si="3"/>
        <v>Kitchen</v>
      </c>
    </row>
    <row r="5" spans="3:20" ht="15" thickBot="1" x14ac:dyDescent="0.4">
      <c r="C5" s="18">
        <v>11</v>
      </c>
      <c r="D5" s="9" t="s">
        <v>75</v>
      </c>
      <c r="E5" s="6" t="str">
        <f t="shared" si="4"/>
        <v>11 - APR-US</v>
      </c>
      <c r="F5" s="14" t="str">
        <f t="shared" si="0"/>
        <v>11 - APR</v>
      </c>
      <c r="G5" s="14" t="str">
        <f t="shared" si="1"/>
        <v>11-04-25</v>
      </c>
      <c r="H5" s="9" t="s">
        <v>72</v>
      </c>
      <c r="I5" s="6" t="str">
        <f t="shared" si="5"/>
        <v>Smartphone - Samsung</v>
      </c>
      <c r="J5" s="9" t="s">
        <v>49</v>
      </c>
      <c r="K5" s="9" t="s">
        <v>14</v>
      </c>
      <c r="L5" s="7">
        <f t="shared" si="2"/>
        <v>900</v>
      </c>
      <c r="M5" s="10">
        <v>900</v>
      </c>
      <c r="N5" s="9">
        <v>25</v>
      </c>
      <c r="O5" s="6" t="s">
        <v>7</v>
      </c>
      <c r="P5" s="8" t="str">
        <f t="shared" si="3"/>
        <v>Electronics</v>
      </c>
    </row>
    <row r="6" spans="3:20" ht="15" thickBot="1" x14ac:dyDescent="0.4">
      <c r="C6" s="17">
        <v>22</v>
      </c>
      <c r="D6" s="6" t="s">
        <v>76</v>
      </c>
      <c r="E6" s="6" t="str">
        <f t="shared" si="4"/>
        <v>22 - MAY-US</v>
      </c>
      <c r="F6" s="14" t="str">
        <f t="shared" si="0"/>
        <v>22 - MAY</v>
      </c>
      <c r="G6" s="14" t="str">
        <f t="shared" si="1"/>
        <v>22-05-25</v>
      </c>
      <c r="H6" s="6" t="s">
        <v>72</v>
      </c>
      <c r="I6" s="6" t="str">
        <f t="shared" si="5"/>
        <v>Backpack - North Face</v>
      </c>
      <c r="J6" s="6" t="s">
        <v>15</v>
      </c>
      <c r="K6" s="6" t="s">
        <v>16</v>
      </c>
      <c r="L6" s="7">
        <f t="shared" si="2"/>
        <v>70</v>
      </c>
      <c r="M6" s="7">
        <v>70</v>
      </c>
      <c r="N6" s="6">
        <v>20</v>
      </c>
      <c r="O6" s="6"/>
      <c r="P6" s="11" t="str">
        <f t="shared" si="3"/>
        <v>UNKNOWN</v>
      </c>
    </row>
    <row r="7" spans="3:20" ht="15" thickBot="1" x14ac:dyDescent="0.4">
      <c r="C7" s="18">
        <v>7</v>
      </c>
      <c r="D7" s="9" t="s">
        <v>77</v>
      </c>
      <c r="E7" s="6" t="str">
        <f t="shared" si="4"/>
        <v>7 - JUN-UK</v>
      </c>
      <c r="F7" s="14" t="str">
        <f t="shared" si="0"/>
        <v>7 - JUN</v>
      </c>
      <c r="G7" s="14" t="str">
        <f t="shared" si="1"/>
        <v>07-06-25</v>
      </c>
      <c r="H7" s="9" t="s">
        <v>78</v>
      </c>
      <c r="I7" s="6" t="str">
        <f t="shared" si="5"/>
        <v>Headphones - Sony</v>
      </c>
      <c r="J7" s="9" t="s">
        <v>17</v>
      </c>
      <c r="K7" s="9" t="s">
        <v>18</v>
      </c>
      <c r="L7" s="12">
        <f t="shared" si="2"/>
        <v>267.82608695652175</v>
      </c>
      <c r="M7" s="10"/>
      <c r="N7" s="9">
        <v>45</v>
      </c>
      <c r="O7" s="9" t="s">
        <v>7</v>
      </c>
      <c r="P7" s="8" t="str">
        <f t="shared" si="3"/>
        <v>Electronics</v>
      </c>
    </row>
    <row r="8" spans="3:20" ht="15" thickBot="1" x14ac:dyDescent="0.4">
      <c r="C8" s="17">
        <v>19</v>
      </c>
      <c r="D8" s="6" t="s">
        <v>79</v>
      </c>
      <c r="E8" s="6" t="str">
        <f t="shared" si="4"/>
        <v>19 - JUL-UK</v>
      </c>
      <c r="F8" s="14" t="str">
        <f t="shared" si="0"/>
        <v>19 - JUL</v>
      </c>
      <c r="G8" s="14" t="str">
        <f t="shared" si="1"/>
        <v>19-07-25</v>
      </c>
      <c r="H8" s="6" t="s">
        <v>78</v>
      </c>
      <c r="I8" s="6" t="str">
        <f t="shared" si="5"/>
        <v>T-shirt - Adidas</v>
      </c>
      <c r="J8" s="6" t="s">
        <v>19</v>
      </c>
      <c r="K8" s="6" t="s">
        <v>20</v>
      </c>
      <c r="L8" s="7">
        <f t="shared" si="2"/>
        <v>30</v>
      </c>
      <c r="M8" s="7">
        <v>30</v>
      </c>
      <c r="N8" s="6">
        <v>5</v>
      </c>
      <c r="O8" s="6" t="s">
        <v>10</v>
      </c>
      <c r="P8" s="8" t="str">
        <f t="shared" si="3"/>
        <v>Fashion</v>
      </c>
      <c r="T8" s="2"/>
    </row>
    <row r="9" spans="3:20" ht="15" thickBot="1" x14ac:dyDescent="0.4">
      <c r="C9" s="18">
        <v>23</v>
      </c>
      <c r="D9" s="9" t="s">
        <v>80</v>
      </c>
      <c r="E9" s="6" t="str">
        <f t="shared" si="4"/>
        <v>23 - AUG-UK</v>
      </c>
      <c r="F9" s="14" t="str">
        <f t="shared" si="0"/>
        <v>23 - AUG</v>
      </c>
      <c r="G9" s="14" t="str">
        <f t="shared" si="1"/>
        <v>23-08-25</v>
      </c>
      <c r="H9" s="9" t="s">
        <v>78</v>
      </c>
      <c r="I9" s="6" t="str">
        <f t="shared" si="5"/>
        <v>Blender - Ninja</v>
      </c>
      <c r="J9" s="9" t="s">
        <v>21</v>
      </c>
      <c r="K9" s="9" t="s">
        <v>22</v>
      </c>
      <c r="L9" s="7">
        <f t="shared" si="2"/>
        <v>90</v>
      </c>
      <c r="M9" s="10">
        <v>90</v>
      </c>
      <c r="N9" s="9">
        <v>35</v>
      </c>
      <c r="O9" s="9" t="s">
        <v>13</v>
      </c>
      <c r="P9" s="8" t="str">
        <f t="shared" si="3"/>
        <v>Kitchen</v>
      </c>
    </row>
    <row r="10" spans="3:20" ht="15" thickBot="1" x14ac:dyDescent="0.4">
      <c r="C10" s="17">
        <v>5</v>
      </c>
      <c r="D10" s="6" t="s">
        <v>81</v>
      </c>
      <c r="E10" s="6" t="str">
        <f t="shared" si="4"/>
        <v>5 - SEP-UK</v>
      </c>
      <c r="F10" s="14" t="str">
        <f t="shared" si="0"/>
        <v>5 - SEP</v>
      </c>
      <c r="G10" s="14" t="str">
        <f t="shared" si="1"/>
        <v>05-09-25</v>
      </c>
      <c r="H10" s="6" t="s">
        <v>78</v>
      </c>
      <c r="I10" s="6" t="str">
        <f t="shared" si="5"/>
        <v>Tablet - Apple</v>
      </c>
      <c r="J10" s="6" t="s">
        <v>23</v>
      </c>
      <c r="K10" s="6" t="s">
        <v>24</v>
      </c>
      <c r="L10" s="7">
        <f t="shared" si="2"/>
        <v>500</v>
      </c>
      <c r="M10" s="7">
        <v>500</v>
      </c>
      <c r="N10" s="6">
        <v>50</v>
      </c>
      <c r="O10" s="6" t="s">
        <v>7</v>
      </c>
      <c r="P10" s="8" t="str">
        <f t="shared" si="3"/>
        <v>Electronics</v>
      </c>
    </row>
    <row r="11" spans="3:20" ht="26.5" thickBot="1" x14ac:dyDescent="0.4">
      <c r="C11" s="18">
        <v>14</v>
      </c>
      <c r="D11" s="9" t="s">
        <v>82</v>
      </c>
      <c r="E11" s="6" t="str">
        <f t="shared" si="4"/>
        <v>14 - OCT-UK</v>
      </c>
      <c r="F11" s="14" t="str">
        <f t="shared" si="0"/>
        <v>14 - OCT</v>
      </c>
      <c r="G11" s="14" t="str">
        <f t="shared" si="1"/>
        <v>14-10-25</v>
      </c>
      <c r="H11" s="9" t="s">
        <v>78</v>
      </c>
      <c r="I11" s="6" t="str">
        <f t="shared" si="5"/>
        <v>Hiking Boots - Timberland</v>
      </c>
      <c r="J11" s="9" t="s">
        <v>25</v>
      </c>
      <c r="K11" s="9" t="s">
        <v>26</v>
      </c>
      <c r="L11" s="7">
        <f t="shared" si="2"/>
        <v>130</v>
      </c>
      <c r="M11" s="10">
        <v>130</v>
      </c>
      <c r="N11" s="9">
        <v>10</v>
      </c>
      <c r="O11" s="9" t="s">
        <v>27</v>
      </c>
      <c r="P11" s="8" t="str">
        <f t="shared" si="3"/>
        <v>Outdoor</v>
      </c>
    </row>
    <row r="12" spans="3:20" ht="15" thickBot="1" x14ac:dyDescent="0.4">
      <c r="C12" s="17">
        <v>17</v>
      </c>
      <c r="D12" s="6" t="s">
        <v>77</v>
      </c>
      <c r="E12" s="6" t="str">
        <f t="shared" si="4"/>
        <v>17 - JUN-IN</v>
      </c>
      <c r="F12" s="14" t="str">
        <f t="shared" si="0"/>
        <v>17 - JUN</v>
      </c>
      <c r="G12" s="14" t="str">
        <f t="shared" si="1"/>
        <v>17-06-25</v>
      </c>
      <c r="H12" s="6" t="s">
        <v>83</v>
      </c>
      <c r="I12" s="6" t="str">
        <f t="shared" si="5"/>
        <v>Laptop - HP</v>
      </c>
      <c r="J12" s="6" t="s">
        <v>28</v>
      </c>
      <c r="K12" s="6" t="s">
        <v>29</v>
      </c>
      <c r="L12" s="7">
        <f t="shared" si="2"/>
        <v>950</v>
      </c>
      <c r="M12" s="7">
        <v>950</v>
      </c>
      <c r="N12" s="6">
        <v>25</v>
      </c>
      <c r="O12" s="6" t="s">
        <v>7</v>
      </c>
      <c r="P12" s="8" t="str">
        <f t="shared" si="3"/>
        <v>Electronics</v>
      </c>
    </row>
    <row r="13" spans="3:20" ht="15" thickBot="1" x14ac:dyDescent="0.4">
      <c r="C13" s="18">
        <v>25</v>
      </c>
      <c r="D13" s="9" t="s">
        <v>84</v>
      </c>
      <c r="E13" s="6" t="str">
        <f t="shared" si="4"/>
        <v>25 - NOV-AU</v>
      </c>
      <c r="F13" s="14" t="str">
        <f t="shared" si="0"/>
        <v>25 - NOV</v>
      </c>
      <c r="G13" s="14" t="str">
        <f t="shared" si="1"/>
        <v>25-11-25</v>
      </c>
      <c r="H13" s="9" t="s">
        <v>85</v>
      </c>
      <c r="I13" s="6" t="str">
        <f t="shared" si="5"/>
        <v>Sneakers - Adidas</v>
      </c>
      <c r="J13" s="9" t="s">
        <v>8</v>
      </c>
      <c r="K13" s="9" t="s">
        <v>20</v>
      </c>
      <c r="L13" s="7">
        <f t="shared" si="2"/>
        <v>90</v>
      </c>
      <c r="M13" s="10">
        <v>90</v>
      </c>
      <c r="N13" s="9">
        <v>40</v>
      </c>
      <c r="O13" s="9"/>
      <c r="P13" s="11" t="str">
        <f t="shared" si="3"/>
        <v>UNKNOWN</v>
      </c>
    </row>
    <row r="14" spans="3:20" ht="26.5" thickBot="1" x14ac:dyDescent="0.4">
      <c r="C14" s="17">
        <v>8</v>
      </c>
      <c r="D14" s="6" t="s">
        <v>86</v>
      </c>
      <c r="E14" s="6" t="str">
        <f t="shared" si="4"/>
        <v>8 - DEC-DE</v>
      </c>
      <c r="F14" s="14" t="str">
        <f t="shared" si="0"/>
        <v>8 - DEC</v>
      </c>
      <c r="G14" s="14" t="str">
        <f t="shared" si="1"/>
        <v>08-12-25</v>
      </c>
      <c r="H14" s="6" t="s">
        <v>87</v>
      </c>
      <c r="I14" s="6" t="str">
        <f t="shared" si="5"/>
        <v>Coffee Maker - Nespresso</v>
      </c>
      <c r="J14" s="6" t="s">
        <v>11</v>
      </c>
      <c r="K14" s="6" t="s">
        <v>30</v>
      </c>
      <c r="L14" s="7">
        <f t="shared" si="2"/>
        <v>120</v>
      </c>
      <c r="M14" s="7">
        <v>120</v>
      </c>
      <c r="N14" s="6">
        <v>35</v>
      </c>
      <c r="O14" s="6"/>
      <c r="P14" s="11" t="str">
        <f t="shared" si="3"/>
        <v>UNKNOWN</v>
      </c>
    </row>
    <row r="15" spans="3:20" ht="15" thickBot="1" x14ac:dyDescent="0.4">
      <c r="C15" s="18">
        <v>18</v>
      </c>
      <c r="D15" s="9" t="s">
        <v>73</v>
      </c>
      <c r="E15" s="6" t="str">
        <f t="shared" si="4"/>
        <v>18 - FEB-CA</v>
      </c>
      <c r="F15" s="14" t="str">
        <f t="shared" si="0"/>
        <v>18 - FEB</v>
      </c>
      <c r="G15" s="14" t="str">
        <f t="shared" si="1"/>
        <v>18-02-25</v>
      </c>
      <c r="H15" s="9" t="s">
        <v>88</v>
      </c>
      <c r="I15" s="6" t="str">
        <f t="shared" si="5"/>
        <v>Smartwatch - Fitbit</v>
      </c>
      <c r="J15" s="9" t="s">
        <v>31</v>
      </c>
      <c r="K15" s="9" t="s">
        <v>32</v>
      </c>
      <c r="L15" s="7">
        <f t="shared" si="2"/>
        <v>150</v>
      </c>
      <c r="M15" s="10">
        <v>150</v>
      </c>
      <c r="N15" s="9">
        <v>15</v>
      </c>
      <c r="O15" s="9" t="s">
        <v>7</v>
      </c>
      <c r="P15" s="8" t="str">
        <f t="shared" si="3"/>
        <v>Electronics</v>
      </c>
    </row>
    <row r="16" spans="3:20" ht="15" thickBot="1" x14ac:dyDescent="0.4">
      <c r="C16" s="17">
        <v>16</v>
      </c>
      <c r="D16" s="6" t="s">
        <v>75</v>
      </c>
      <c r="E16" s="6" t="str">
        <f t="shared" si="4"/>
        <v>16 - APR-ES</v>
      </c>
      <c r="F16" s="14" t="str">
        <f t="shared" si="0"/>
        <v>16 - APR</v>
      </c>
      <c r="G16" s="14" t="str">
        <f t="shared" si="1"/>
        <v>16-04-25</v>
      </c>
      <c r="H16" s="6" t="s">
        <v>89</v>
      </c>
      <c r="I16" s="6" t="str">
        <f t="shared" si="5"/>
        <v>Headphones - Bose</v>
      </c>
      <c r="J16" s="6" t="s">
        <v>17</v>
      </c>
      <c r="K16" s="6" t="s">
        <v>33</v>
      </c>
      <c r="L16" s="7">
        <f t="shared" si="2"/>
        <v>250</v>
      </c>
      <c r="M16" s="7">
        <v>250</v>
      </c>
      <c r="N16" s="6">
        <v>20</v>
      </c>
      <c r="O16" s="6" t="s">
        <v>7</v>
      </c>
      <c r="P16" s="8" t="str">
        <f t="shared" si="3"/>
        <v>Electronics</v>
      </c>
      <c r="T16" s="2"/>
    </row>
    <row r="17" spans="3:20" ht="15" thickBot="1" x14ac:dyDescent="0.4">
      <c r="C17" s="18">
        <v>21</v>
      </c>
      <c r="D17" s="9" t="s">
        <v>80</v>
      </c>
      <c r="E17" s="6" t="str">
        <f t="shared" si="4"/>
        <v>21 - AUG-CA</v>
      </c>
      <c r="F17" s="14" t="str">
        <f t="shared" si="0"/>
        <v>21 - AUG</v>
      </c>
      <c r="G17" s="14" t="str">
        <f t="shared" si="1"/>
        <v>21-08-25</v>
      </c>
      <c r="H17" s="9" t="s">
        <v>88</v>
      </c>
      <c r="I17" s="6" t="str">
        <f t="shared" si="5"/>
        <v>Laptop Bag - Samsonite</v>
      </c>
      <c r="J17" s="9" t="s">
        <v>34</v>
      </c>
      <c r="K17" s="9" t="s">
        <v>35</v>
      </c>
      <c r="L17" s="7">
        <f t="shared" si="2"/>
        <v>50</v>
      </c>
      <c r="M17" s="10">
        <v>50</v>
      </c>
      <c r="N17" s="9">
        <v>35</v>
      </c>
      <c r="O17" s="9" t="s">
        <v>36</v>
      </c>
      <c r="P17" s="8" t="str">
        <f t="shared" si="3"/>
        <v>Accessories</v>
      </c>
    </row>
    <row r="18" spans="3:20" ht="15" thickBot="1" x14ac:dyDescent="0.4">
      <c r="C18" s="17">
        <v>20</v>
      </c>
      <c r="D18" s="6" t="s">
        <v>80</v>
      </c>
      <c r="E18" s="6" t="str">
        <f t="shared" si="4"/>
        <v>20 - AUG-CN</v>
      </c>
      <c r="F18" s="14" t="str">
        <f t="shared" si="0"/>
        <v>20 - AUG</v>
      </c>
      <c r="G18" s="14" t="str">
        <f t="shared" si="1"/>
        <v>20-08-25</v>
      </c>
      <c r="H18" s="6" t="s">
        <v>90</v>
      </c>
      <c r="I18" s="6" t="str">
        <f t="shared" si="5"/>
        <v>Smartwatch - Huawei</v>
      </c>
      <c r="J18" s="6" t="s">
        <v>31</v>
      </c>
      <c r="K18" s="6" t="s">
        <v>37</v>
      </c>
      <c r="L18" s="7">
        <f t="shared" si="2"/>
        <v>160</v>
      </c>
      <c r="M18" s="7">
        <v>160</v>
      </c>
      <c r="N18" s="6">
        <v>15</v>
      </c>
      <c r="O18" s="6" t="s">
        <v>7</v>
      </c>
      <c r="P18" s="8" t="str">
        <f t="shared" si="3"/>
        <v>Electronics</v>
      </c>
    </row>
    <row r="19" spans="3:20" ht="15" thickBot="1" x14ac:dyDescent="0.4">
      <c r="C19" s="18">
        <v>27</v>
      </c>
      <c r="D19" s="9" t="s">
        <v>71</v>
      </c>
      <c r="E19" s="6" t="str">
        <f t="shared" si="4"/>
        <v>27 - JAN-IT</v>
      </c>
      <c r="F19" s="14" t="str">
        <f t="shared" si="0"/>
        <v>27 - JAN</v>
      </c>
      <c r="G19" s="14" t="str">
        <f t="shared" si="1"/>
        <v>27-01-25</v>
      </c>
      <c r="H19" s="9" t="s">
        <v>91</v>
      </c>
      <c r="I19" s="6" t="str">
        <f t="shared" si="5"/>
        <v>Laptop - Asus</v>
      </c>
      <c r="J19" s="9" t="s">
        <v>28</v>
      </c>
      <c r="K19" s="9" t="s">
        <v>38</v>
      </c>
      <c r="L19" s="7">
        <f t="shared" si="2"/>
        <v>980</v>
      </c>
      <c r="M19" s="10">
        <v>980</v>
      </c>
      <c r="N19" s="9">
        <v>10</v>
      </c>
      <c r="O19" s="6" t="s">
        <v>7</v>
      </c>
      <c r="P19" s="8" t="str">
        <f t="shared" si="3"/>
        <v>Electronics</v>
      </c>
      <c r="T19" s="2"/>
    </row>
    <row r="20" spans="3:20" ht="15" thickBot="1" x14ac:dyDescent="0.4">
      <c r="C20" s="17">
        <v>1</v>
      </c>
      <c r="D20" s="6" t="s">
        <v>74</v>
      </c>
      <c r="E20" s="6" t="str">
        <f t="shared" si="4"/>
        <v>1 - MAR-UK</v>
      </c>
      <c r="F20" s="14" t="str">
        <f t="shared" si="0"/>
        <v>1 - MAR</v>
      </c>
      <c r="G20" s="14" t="str">
        <f t="shared" si="1"/>
        <v>01-03-25</v>
      </c>
      <c r="H20" s="6" t="s">
        <v>78</v>
      </c>
      <c r="I20" s="6" t="str">
        <f t="shared" si="5"/>
        <v>Sunglasses - Oakley</v>
      </c>
      <c r="J20" s="6" t="s">
        <v>39</v>
      </c>
      <c r="K20" s="6" t="s">
        <v>40</v>
      </c>
      <c r="L20" s="7">
        <f t="shared" si="2"/>
        <v>150</v>
      </c>
      <c r="M20" s="7">
        <v>150</v>
      </c>
      <c r="N20" s="6">
        <v>15</v>
      </c>
      <c r="O20" s="6" t="s">
        <v>10</v>
      </c>
      <c r="P20" s="8" t="str">
        <f t="shared" si="3"/>
        <v>Fashion</v>
      </c>
      <c r="S20" t="s">
        <v>96</v>
      </c>
    </row>
    <row r="21" spans="3:20" ht="15" thickBot="1" x14ac:dyDescent="0.4">
      <c r="C21" s="18">
        <v>14</v>
      </c>
      <c r="D21" s="9" t="s">
        <v>80</v>
      </c>
      <c r="E21" s="6" t="str">
        <f t="shared" si="4"/>
        <v>14 - AUG-US</v>
      </c>
      <c r="F21" s="14" t="str">
        <f t="shared" si="0"/>
        <v>14 - AUG</v>
      </c>
      <c r="G21" s="14" t="str">
        <f t="shared" si="1"/>
        <v>14-08-25</v>
      </c>
      <c r="H21" s="9" t="s">
        <v>72</v>
      </c>
      <c r="I21" s="6" t="str">
        <f t="shared" si="5"/>
        <v>Camping Tent - Coleman</v>
      </c>
      <c r="J21" s="9" t="s">
        <v>41</v>
      </c>
      <c r="K21" s="9" t="s">
        <v>42</v>
      </c>
      <c r="L21" s="12">
        <f t="shared" si="2"/>
        <v>251</v>
      </c>
      <c r="M21" s="10"/>
      <c r="N21" s="9">
        <v>10</v>
      </c>
      <c r="O21" s="9" t="s">
        <v>27</v>
      </c>
      <c r="P21" s="8" t="str">
        <f t="shared" si="3"/>
        <v>Outdoor</v>
      </c>
    </row>
    <row r="22" spans="3:20" ht="15" thickBot="1" x14ac:dyDescent="0.4">
      <c r="C22" s="17">
        <v>14</v>
      </c>
      <c r="D22" s="6" t="s">
        <v>76</v>
      </c>
      <c r="E22" s="6" t="str">
        <f t="shared" si="4"/>
        <v>14 - MAY-RU</v>
      </c>
      <c r="F22" s="14" t="str">
        <f t="shared" si="0"/>
        <v>14 - MAY</v>
      </c>
      <c r="G22" s="14" t="str">
        <f t="shared" si="1"/>
        <v>14-05-25</v>
      </c>
      <c r="H22" s="6" t="s">
        <v>92</v>
      </c>
      <c r="I22" s="6" t="str">
        <f t="shared" si="5"/>
        <v>Camera - Nikon</v>
      </c>
      <c r="J22" s="6" t="s">
        <v>43</v>
      </c>
      <c r="K22" s="6" t="s">
        <v>44</v>
      </c>
      <c r="L22" s="7">
        <f t="shared" si="2"/>
        <v>700</v>
      </c>
      <c r="M22" s="7">
        <v>700</v>
      </c>
      <c r="N22" s="6">
        <v>50</v>
      </c>
      <c r="O22" s="6" t="s">
        <v>7</v>
      </c>
      <c r="P22" s="8" t="str">
        <f t="shared" si="3"/>
        <v>Electronics</v>
      </c>
    </row>
    <row r="23" spans="3:20" ht="15" thickBot="1" x14ac:dyDescent="0.4">
      <c r="C23" s="18">
        <v>9</v>
      </c>
      <c r="D23" s="9" t="s">
        <v>71</v>
      </c>
      <c r="E23" s="6" t="str">
        <f t="shared" si="4"/>
        <v>9 - JAN-CA</v>
      </c>
      <c r="F23" s="14" t="str">
        <f t="shared" si="0"/>
        <v>9 - JAN</v>
      </c>
      <c r="G23" s="14" t="str">
        <f t="shared" si="1"/>
        <v>09-01-25</v>
      </c>
      <c r="H23" s="9" t="s">
        <v>88</v>
      </c>
      <c r="I23" s="6" t="str">
        <f t="shared" si="5"/>
        <v>Microwave - Panasonic</v>
      </c>
      <c r="J23" s="9" t="s">
        <v>45</v>
      </c>
      <c r="K23" s="9" t="s">
        <v>46</v>
      </c>
      <c r="L23" s="7">
        <f t="shared" si="2"/>
        <v>80</v>
      </c>
      <c r="M23" s="10">
        <v>80</v>
      </c>
      <c r="N23" s="9">
        <v>20</v>
      </c>
      <c r="O23" s="9" t="s">
        <v>13</v>
      </c>
      <c r="P23" s="8" t="str">
        <f t="shared" si="3"/>
        <v>Kitchen</v>
      </c>
      <c r="T23" s="2"/>
    </row>
    <row r="24" spans="3:20" ht="15" thickBot="1" x14ac:dyDescent="0.4">
      <c r="C24" s="17">
        <v>19</v>
      </c>
      <c r="D24" s="6" t="s">
        <v>79</v>
      </c>
      <c r="E24" s="6" t="str">
        <f t="shared" si="4"/>
        <v>19 - JUL-BR</v>
      </c>
      <c r="F24" s="14" t="str">
        <f t="shared" si="0"/>
        <v>19 - JUL</v>
      </c>
      <c r="G24" s="14" t="str">
        <f t="shared" si="1"/>
        <v>19-07-25</v>
      </c>
      <c r="H24" s="6" t="s">
        <v>93</v>
      </c>
      <c r="I24" s="6" t="str">
        <f t="shared" si="5"/>
        <v>Fitness Tracker - Xiaomi</v>
      </c>
      <c r="J24" s="6" t="s">
        <v>47</v>
      </c>
      <c r="K24" s="6" t="s">
        <v>48</v>
      </c>
      <c r="L24" s="7">
        <f t="shared" si="2"/>
        <v>150</v>
      </c>
      <c r="M24" s="7">
        <v>150</v>
      </c>
      <c r="N24" s="6">
        <v>30</v>
      </c>
      <c r="O24" s="6"/>
      <c r="P24" s="11" t="str">
        <f t="shared" si="3"/>
        <v>UNKNOWN</v>
      </c>
    </row>
    <row r="25" spans="3:20" ht="15" thickBot="1" x14ac:dyDescent="0.4">
      <c r="C25" s="17">
        <v>29</v>
      </c>
      <c r="D25" s="6" t="s">
        <v>81</v>
      </c>
      <c r="E25" s="6" t="str">
        <f t="shared" si="4"/>
        <v>29 - SEP-CA</v>
      </c>
      <c r="F25" s="14" t="str">
        <f t="shared" si="0"/>
        <v>29 - SEP</v>
      </c>
      <c r="G25" s="14" t="str">
        <f t="shared" si="1"/>
        <v>29-09-25</v>
      </c>
      <c r="H25" s="6" t="s">
        <v>88</v>
      </c>
      <c r="I25" s="6" t="str">
        <f t="shared" si="5"/>
        <v>Smartphone - Google</v>
      </c>
      <c r="J25" s="6" t="s">
        <v>49</v>
      </c>
      <c r="K25" s="6" t="s">
        <v>50</v>
      </c>
      <c r="L25" s="7">
        <f t="shared" si="2"/>
        <v>800</v>
      </c>
      <c r="M25" s="7">
        <v>800</v>
      </c>
      <c r="N25" s="6">
        <v>45</v>
      </c>
      <c r="O25" s="6" t="s">
        <v>7</v>
      </c>
      <c r="P25" s="8" t="str">
        <f t="shared" si="3"/>
        <v>Electronics</v>
      </c>
    </row>
    <row r="26" spans="3:20" ht="15" thickBot="1" x14ac:dyDescent="0.4">
      <c r="C26" s="18">
        <v>3</v>
      </c>
      <c r="D26" s="9" t="s">
        <v>77</v>
      </c>
      <c r="E26" s="6" t="str">
        <f t="shared" si="4"/>
        <v>3 - JUN-CA</v>
      </c>
      <c r="F26" s="14" t="str">
        <f t="shared" si="0"/>
        <v>3 - JUN</v>
      </c>
      <c r="G26" s="14" t="str">
        <f t="shared" si="1"/>
        <v>03-06-25</v>
      </c>
      <c r="H26" s="9" t="s">
        <v>88</v>
      </c>
      <c r="I26" s="6" t="str">
        <f t="shared" si="5"/>
        <v>Sunglasses - Ray-Ban</v>
      </c>
      <c r="J26" s="9" t="s">
        <v>39</v>
      </c>
      <c r="K26" s="9" t="s">
        <v>51</v>
      </c>
      <c r="L26" s="12">
        <f t="shared" si="2"/>
        <v>130</v>
      </c>
      <c r="M26" s="10"/>
      <c r="N26" s="9">
        <v>25</v>
      </c>
      <c r="O26" s="9" t="s">
        <v>10</v>
      </c>
      <c r="P26" s="8" t="str">
        <f t="shared" si="3"/>
        <v>Fashion</v>
      </c>
    </row>
    <row r="27" spans="3:20" ht="15" thickBot="1" x14ac:dyDescent="0.4">
      <c r="C27" s="17">
        <v>11</v>
      </c>
      <c r="D27" s="6" t="s">
        <v>79</v>
      </c>
      <c r="E27" s="6" t="str">
        <f t="shared" si="4"/>
        <v>11 - JUL-CA</v>
      </c>
      <c r="F27" s="14" t="str">
        <f t="shared" si="0"/>
        <v>11 - JUL</v>
      </c>
      <c r="G27" s="14" t="str">
        <f t="shared" si="1"/>
        <v>11-07-25</v>
      </c>
      <c r="H27" s="6" t="s">
        <v>88</v>
      </c>
      <c r="I27" s="6" t="str">
        <f t="shared" si="5"/>
        <v>Blender - Vitamix</v>
      </c>
      <c r="J27" s="6" t="s">
        <v>21</v>
      </c>
      <c r="K27" s="6" t="s">
        <v>52</v>
      </c>
      <c r="L27" s="7">
        <f t="shared" si="2"/>
        <v>400</v>
      </c>
      <c r="M27" s="7">
        <v>400</v>
      </c>
      <c r="N27" s="6">
        <v>40</v>
      </c>
      <c r="O27" s="6" t="s">
        <v>13</v>
      </c>
      <c r="P27" s="8" t="str">
        <f t="shared" si="3"/>
        <v>Kitchen</v>
      </c>
      <c r="T27" s="2"/>
    </row>
    <row r="28" spans="3:20" ht="15" thickBot="1" x14ac:dyDescent="0.4">
      <c r="C28" s="17">
        <v>7</v>
      </c>
      <c r="D28" s="6" t="s">
        <v>74</v>
      </c>
      <c r="E28" s="6" t="str">
        <f t="shared" si="4"/>
        <v>7 - MAR-CA</v>
      </c>
      <c r="F28" s="14" t="str">
        <f t="shared" si="0"/>
        <v>7 - MAR</v>
      </c>
      <c r="G28" s="14" t="str">
        <f t="shared" si="1"/>
        <v>07-03-25</v>
      </c>
      <c r="H28" s="6" t="s">
        <v>88</v>
      </c>
      <c r="I28" s="6" t="str">
        <f t="shared" si="5"/>
        <v>Dress - Zara</v>
      </c>
      <c r="J28" s="6" t="s">
        <v>53</v>
      </c>
      <c r="K28" s="6" t="s">
        <v>54</v>
      </c>
      <c r="L28" s="7">
        <f t="shared" si="2"/>
        <v>60</v>
      </c>
      <c r="M28" s="7">
        <v>60</v>
      </c>
      <c r="N28" s="6">
        <v>30</v>
      </c>
      <c r="O28" s="6" t="s">
        <v>10</v>
      </c>
      <c r="P28" s="8" t="str">
        <f t="shared" si="3"/>
        <v>Fashion</v>
      </c>
    </row>
    <row r="29" spans="3:20" ht="15" thickBot="1" x14ac:dyDescent="0.4">
      <c r="C29" s="18">
        <v>13</v>
      </c>
      <c r="D29" s="9" t="s">
        <v>75</v>
      </c>
      <c r="E29" s="6" t="str">
        <f t="shared" si="4"/>
        <v>13 - APR-CA</v>
      </c>
      <c r="F29" s="14" t="str">
        <f t="shared" si="0"/>
        <v>13 - APR</v>
      </c>
      <c r="G29" s="14" t="str">
        <f t="shared" si="1"/>
        <v>13-04-25</v>
      </c>
      <c r="H29" s="9" t="s">
        <v>88</v>
      </c>
      <c r="I29" s="6" t="str">
        <f t="shared" si="5"/>
        <v>Toaster - Hamilton</v>
      </c>
      <c r="J29" s="9" t="s">
        <v>55</v>
      </c>
      <c r="K29" s="9" t="s">
        <v>56</v>
      </c>
      <c r="L29" s="7">
        <f t="shared" si="2"/>
        <v>40</v>
      </c>
      <c r="M29" s="10">
        <v>40</v>
      </c>
      <c r="N29" s="9">
        <v>10</v>
      </c>
      <c r="O29" s="9" t="s">
        <v>13</v>
      </c>
      <c r="P29" s="8" t="str">
        <f t="shared" si="3"/>
        <v>Kitchen</v>
      </c>
    </row>
    <row r="30" spans="3:20" ht="15" thickBot="1" x14ac:dyDescent="0.4">
      <c r="C30" s="17">
        <v>24</v>
      </c>
      <c r="D30" s="6" t="s">
        <v>76</v>
      </c>
      <c r="E30" s="6" t="str">
        <f t="shared" si="4"/>
        <v>24 - MAY-CA</v>
      </c>
      <c r="F30" s="14" t="str">
        <f t="shared" si="0"/>
        <v>24 - MAY</v>
      </c>
      <c r="G30" s="14" t="str">
        <f t="shared" si="1"/>
        <v>24-05-25</v>
      </c>
      <c r="H30" s="6" t="s">
        <v>88</v>
      </c>
      <c r="I30" s="6" t="str">
        <f t="shared" si="5"/>
        <v>Fitness Tracker - Garmin</v>
      </c>
      <c r="J30" s="6" t="s">
        <v>47</v>
      </c>
      <c r="K30" s="6" t="s">
        <v>57</v>
      </c>
      <c r="L30" s="7">
        <f t="shared" si="2"/>
        <v>130</v>
      </c>
      <c r="M30" s="7">
        <v>130</v>
      </c>
      <c r="N30" s="6">
        <v>5</v>
      </c>
      <c r="O30" s="6" t="s">
        <v>7</v>
      </c>
      <c r="P30" s="8" t="str">
        <f t="shared" si="3"/>
        <v>Electronics</v>
      </c>
    </row>
    <row r="31" spans="3:20" ht="15" thickBot="1" x14ac:dyDescent="0.4">
      <c r="C31" s="18">
        <v>2</v>
      </c>
      <c r="D31" s="9" t="s">
        <v>86</v>
      </c>
      <c r="E31" s="6" t="str">
        <f t="shared" si="4"/>
        <v>2 - DEC-CA</v>
      </c>
      <c r="F31" s="14" t="str">
        <f t="shared" si="0"/>
        <v>2 - DEC</v>
      </c>
      <c r="G31" s="14" t="str">
        <f t="shared" si="1"/>
        <v>02-12-25</v>
      </c>
      <c r="H31" s="9" t="s">
        <v>88</v>
      </c>
      <c r="I31" s="6" t="str">
        <f t="shared" si="5"/>
        <v>Jeans - Levi's</v>
      </c>
      <c r="J31" s="9" t="s">
        <v>58</v>
      </c>
      <c r="K31" s="9" t="s">
        <v>59</v>
      </c>
      <c r="L31" s="7">
        <f t="shared" si="2"/>
        <v>50</v>
      </c>
      <c r="M31" s="10">
        <v>50</v>
      </c>
      <c r="N31" s="9">
        <v>50</v>
      </c>
      <c r="O31" s="9" t="s">
        <v>10</v>
      </c>
      <c r="P31" s="8" t="str">
        <f t="shared" si="3"/>
        <v>Fashion</v>
      </c>
    </row>
    <row r="32" spans="3:20" ht="15" thickBot="1" x14ac:dyDescent="0.4">
      <c r="C32" s="18">
        <v>9</v>
      </c>
      <c r="D32" s="9" t="s">
        <v>79</v>
      </c>
      <c r="E32" s="6" t="str">
        <f t="shared" si="4"/>
        <v>9 - JUL-FR</v>
      </c>
      <c r="F32" s="14" t="str">
        <f t="shared" si="0"/>
        <v>9 - JUL</v>
      </c>
      <c r="G32" s="14" t="str">
        <f t="shared" si="1"/>
        <v>09-07-25</v>
      </c>
      <c r="H32" s="9" t="s">
        <v>94</v>
      </c>
      <c r="I32" s="6" t="str">
        <f t="shared" si="5"/>
        <v>Watch - Casio</v>
      </c>
      <c r="J32" s="9" t="s">
        <v>60</v>
      </c>
      <c r="K32" s="9" t="s">
        <v>61</v>
      </c>
      <c r="L32" s="7">
        <f t="shared" si="2"/>
        <v>100</v>
      </c>
      <c r="M32" s="10">
        <v>100</v>
      </c>
      <c r="N32" s="9">
        <v>20</v>
      </c>
      <c r="O32" s="9" t="s">
        <v>36</v>
      </c>
      <c r="P32" s="8" t="str">
        <f t="shared" si="3"/>
        <v>Accessories</v>
      </c>
    </row>
  </sheetData>
  <conditionalFormatting sqref="M1:M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{F7EECC9E-C641-4823-B9D9-D6AD953623DE}</x14:id>
        </ext>
      </extLst>
    </cfRule>
  </conditionalFormatting>
  <conditionalFormatting sqref="O1:O1048576">
    <cfRule type="containsText" dxfId="0" priority="1" operator="containsText" text="Electronics">
      <formula>NOT(ISERROR(SEARCH("Electronics",O1)))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EECC9E-C641-4823-B9D9-D6AD953623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18A9-BC98-4988-8181-3007CABCE978}">
  <dimension ref="H1:R30"/>
  <sheetViews>
    <sheetView topLeftCell="F1" workbookViewId="0">
      <selection activeCell="H3" sqref="H3:H30"/>
    </sheetView>
  </sheetViews>
  <sheetFormatPr defaultRowHeight="14.5" x14ac:dyDescent="0.35"/>
  <cols>
    <col min="8" max="8" width="134.90625" bestFit="1" customWidth="1"/>
    <col min="9" max="9" width="90.26953125" bestFit="1" customWidth="1"/>
    <col min="18" max="18" width="109.81640625" bestFit="1" customWidth="1"/>
  </cols>
  <sheetData>
    <row r="1" spans="8:18" x14ac:dyDescent="0.35">
      <c r="H1" s="2"/>
    </row>
    <row r="3" spans="8:18" x14ac:dyDescent="0.35">
      <c r="H3" s="2" t="s">
        <v>65</v>
      </c>
      <c r="R3" s="2"/>
    </row>
    <row r="4" spans="8:18" x14ac:dyDescent="0.35">
      <c r="H4" t="s">
        <v>108</v>
      </c>
    </row>
    <row r="5" spans="8:18" x14ac:dyDescent="0.35">
      <c r="H5" t="s">
        <v>109</v>
      </c>
    </row>
    <row r="6" spans="8:18" x14ac:dyDescent="0.35">
      <c r="H6" t="s">
        <v>110</v>
      </c>
    </row>
    <row r="7" spans="8:18" x14ac:dyDescent="0.35">
      <c r="H7" t="s">
        <v>64</v>
      </c>
    </row>
    <row r="9" spans="8:18" x14ac:dyDescent="0.35">
      <c r="H9" s="2" t="s">
        <v>66</v>
      </c>
      <c r="R9" s="2"/>
    </row>
    <row r="10" spans="8:18" x14ac:dyDescent="0.35">
      <c r="H10" t="s">
        <v>111</v>
      </c>
    </row>
    <row r="11" spans="8:18" x14ac:dyDescent="0.35">
      <c r="H11" t="s">
        <v>112</v>
      </c>
    </row>
    <row r="12" spans="8:18" x14ac:dyDescent="0.35">
      <c r="H12" t="s">
        <v>113</v>
      </c>
    </row>
    <row r="13" spans="8:18" x14ac:dyDescent="0.35">
      <c r="H13" t="s">
        <v>114</v>
      </c>
    </row>
    <row r="14" spans="8:18" x14ac:dyDescent="0.35">
      <c r="H14" t="s">
        <v>115</v>
      </c>
    </row>
    <row r="15" spans="8:18" x14ac:dyDescent="0.35">
      <c r="H15" t="s">
        <v>67</v>
      </c>
    </row>
    <row r="17" spans="8:18" x14ac:dyDescent="0.35">
      <c r="H17" s="2" t="s">
        <v>68</v>
      </c>
      <c r="R17" s="2"/>
    </row>
    <row r="18" spans="8:18" x14ac:dyDescent="0.35">
      <c r="H18" t="s">
        <v>69</v>
      </c>
    </row>
    <row r="20" spans="8:18" x14ac:dyDescent="0.35">
      <c r="H20" s="2" t="s">
        <v>70</v>
      </c>
      <c r="R20" s="2"/>
    </row>
    <row r="21" spans="8:18" x14ac:dyDescent="0.35">
      <c r="H21" t="s">
        <v>116</v>
      </c>
    </row>
    <row r="22" spans="8:18" x14ac:dyDescent="0.35">
      <c r="H22" t="s">
        <v>117</v>
      </c>
    </row>
    <row r="24" spans="8:18" x14ac:dyDescent="0.35">
      <c r="H24" s="2" t="s">
        <v>99</v>
      </c>
      <c r="R24" s="2"/>
    </row>
    <row r="25" spans="8:18" x14ac:dyDescent="0.35">
      <c r="H25" t="s">
        <v>100</v>
      </c>
    </row>
    <row r="26" spans="8:18" x14ac:dyDescent="0.35">
      <c r="H26" t="s">
        <v>102</v>
      </c>
    </row>
    <row r="28" spans="8:18" x14ac:dyDescent="0.35">
      <c r="H28" s="2" t="s">
        <v>103</v>
      </c>
      <c r="R28" s="2"/>
    </row>
    <row r="29" spans="8:18" x14ac:dyDescent="0.35">
      <c r="H29" t="s">
        <v>104</v>
      </c>
    </row>
    <row r="30" spans="8:18" x14ac:dyDescent="0.35">
      <c r="H30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2D1119-352E-4123-A9AD-3E4E36AD2D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23MBA5102 Surya R</dc:creator>
  <cp:lastModifiedBy>23MBA5102 Surya R</cp:lastModifiedBy>
  <dcterms:created xsi:type="dcterms:W3CDTF">2025-09-26T15:23:26Z</dcterms:created>
  <dcterms:modified xsi:type="dcterms:W3CDTF">2025-12-04T08:54:15Z</dcterms:modified>
</cp:coreProperties>
</file>